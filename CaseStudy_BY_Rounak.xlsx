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Data" sheetId="1" r:id="rId4"/>
    <sheet state="visible" name="Sheet3" sheetId="2" r:id="rId5"/>
    <sheet state="visible" name="NOTES" sheetId="3" r:id="rId6"/>
    <sheet state="visible" name="QUES_1" sheetId="4" r:id="rId7"/>
    <sheet state="visible" name="QUES_2" sheetId="5" r:id="rId8"/>
    <sheet state="visible" name="QUES_3" sheetId="6" r:id="rId9"/>
    <sheet state="visible" name="QUES_4" sheetId="7" r:id="rId10"/>
    <sheet state="visible" name="QUES_5" sheetId="8" r:id="rId11"/>
    <sheet state="visible" name="COMMUNICATION" sheetId="9" r:id="rId12"/>
  </sheets>
  <definedNames>
    <definedName hidden="1" localSheetId="1" name="_xlnm._FilterDatabase">Sheet3!$A$1:$NJ$30</definedName>
  </definedNames>
  <calcPr/>
  <extLst>
    <ext uri="GoogleSheetsCustomDataVersion2">
      <go:sheetsCustomData xmlns:go="http://customooxmlschemas.google.com/" r:id="rId13" roundtripDataChecksum="Mv5PitHJeios8sdXWqK0wgpSZRNmxt7RaeHqD+NsiHI="/>
    </ext>
  </extLst>
</workbook>
</file>

<file path=xl/sharedStrings.xml><?xml version="1.0" encoding="utf-8"?>
<sst xmlns="http://schemas.openxmlformats.org/spreadsheetml/2006/main" count="2441" uniqueCount="221">
  <si>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</si>
  <si>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</si>
  <si>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</si>
  <si>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</si>
  <si>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</si>
  <si>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</si>
  <si>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</si>
  <si>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</si>
  <si>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</si>
  <si>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</si>
  <si>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</si>
  <si>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</si>
  <si>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</si>
  <si>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</si>
  <si>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</si>
  <si>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</si>
  <si>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</si>
  <si>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</si>
  <si>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</si>
  <si>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</si>
  <si>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</si>
  <si>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</si>
  <si>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</si>
  <si>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</si>
  <si>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</si>
  <si>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</si>
  <si>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</si>
  <si>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</si>
  <si>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</si>
  <si>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</si>
  <si>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</si>
  <si>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</si>
  <si>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</si>
  <si>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</si>
  <si>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</si>
  <si>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</si>
  <si>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</si>
  <si>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</si>
  <si>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</si>
  <si>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</si>
  <si>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</si>
  <si>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</si>
  <si>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</si>
  <si>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</si>
  <si>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</si>
  <si>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</si>
  <si>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</si>
  <si>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</si>
  <si>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</si>
  <si>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Broader Buckets</t>
  </si>
  <si>
    <t>Beverages and Intoxicants</t>
  </si>
  <si>
    <t>Goods, Services and Transport</t>
  </si>
  <si>
    <t>TOTAL</t>
  </si>
  <si>
    <t>2017-18</t>
  </si>
  <si>
    <t>2018-19</t>
  </si>
  <si>
    <t>NOTES</t>
  </si>
  <si>
    <t>Categories</t>
  </si>
  <si>
    <t>BUCKETS</t>
  </si>
  <si>
    <t>Short Forms</t>
  </si>
  <si>
    <t>Food</t>
  </si>
  <si>
    <t>C &amp; P</t>
  </si>
  <si>
    <t>M &amp; F</t>
  </si>
  <si>
    <t xml:space="preserve">FORMULA USED  </t>
  </si>
  <si>
    <t>M &amp; P</t>
  </si>
  <si>
    <t xml:space="preserve">QUES -1 </t>
  </si>
  <si>
    <t>"SUMIF(Sheet3!$B$4:$B$29,QUES_1!$C8,Sheet3!$C$4:$C$29)"</t>
  </si>
  <si>
    <t>O &amp; F</t>
  </si>
  <si>
    <t>QUES -2</t>
  </si>
  <si>
    <t>(CURRENT YEAR - PREVIOUS YEAR) / PREVIOUS YEAR</t>
  </si>
  <si>
    <t>QUES -3</t>
  </si>
  <si>
    <t>(CURRENT MONTH - PREVIOUS MONTH) / PREVIOUS MONTH</t>
  </si>
  <si>
    <t>QUES -4</t>
  </si>
  <si>
    <t>(AVG CURRENT - AVG PRE) / AVG pre</t>
  </si>
  <si>
    <t>P &amp; P</t>
  </si>
  <si>
    <t>QUES -5</t>
  </si>
  <si>
    <t>CORRELATION</t>
  </si>
  <si>
    <t>S &amp; G</t>
  </si>
  <si>
    <t>Non- AB</t>
  </si>
  <si>
    <t>P, M &amp; S,S</t>
  </si>
  <si>
    <t>F &amp; B</t>
  </si>
  <si>
    <t>P , T &amp; I</t>
  </si>
  <si>
    <t>Clothing and Housing</t>
  </si>
  <si>
    <t>C &amp; F</t>
  </si>
  <si>
    <t>F &amp; L</t>
  </si>
  <si>
    <t>H G &amp; S</t>
  </si>
  <si>
    <t>T &amp; C</t>
  </si>
  <si>
    <t>Social and Miscellaneous</t>
  </si>
  <si>
    <t>R &amp; A</t>
  </si>
  <si>
    <t>P C &amp; E</t>
  </si>
  <si>
    <t>MSC</t>
  </si>
  <si>
    <t>BUCKETS----------------------------&gt;</t>
  </si>
  <si>
    <t>FOOD</t>
  </si>
  <si>
    <t>B&amp;I</t>
  </si>
  <si>
    <t>C&amp;H</t>
  </si>
  <si>
    <t>G&amp;S,T</t>
  </si>
  <si>
    <t>S&amp;M</t>
  </si>
  <si>
    <t>QUES :</t>
  </si>
  <si>
    <t>Which broader category has the highest contribution towards towards CPI calculation in jan 2013</t>
  </si>
  <si>
    <t>DATE: 2013 JAN</t>
  </si>
  <si>
    <t>CATEGORIES</t>
  </si>
  <si>
    <t>RURAL</t>
  </si>
  <si>
    <t>URBAN</t>
  </si>
  <si>
    <t>RURAL+URBAN</t>
  </si>
  <si>
    <t>RURAl</t>
  </si>
  <si>
    <t>Sum</t>
  </si>
  <si>
    <t>INSIGHTS</t>
  </si>
  <si>
    <t xml:space="preserve">&gt;  By our analysis we found that the food category has the highest contribution towards CPI  calculation </t>
  </si>
  <si>
    <t xml:space="preserve">     in all Rural and Urban area.</t>
  </si>
  <si>
    <t>&gt;  GOODS, Services and Trasport has lowest contribution towards CPI calculation in Rural and Urban area.</t>
  </si>
  <si>
    <t>&gt;  Urban and Rural consumption patterns are identical in all categories except when aggregated R+U</t>
  </si>
  <si>
    <t xml:space="preserve">   , where B&amp;I drops sharply</t>
  </si>
  <si>
    <t>&gt; Goods, Services &amp; Transport (31%) and Social &amp; misc (38%) are key drivers in the combined Rural+Urban segment.</t>
  </si>
  <si>
    <t>&gt; Beverages &amp; Intoxicants contribute only 2% to overall Rural+Urban spending, despite being 16% in individual segments.</t>
  </si>
  <si>
    <t>QUES:</t>
  </si>
  <si>
    <t>Create a graph depicting the growth rate Y-o-Y and identify the year with highlight the</t>
  </si>
  <si>
    <t xml:space="preserve">reason why the year has the highest inflation 
</t>
  </si>
  <si>
    <t xml:space="preserve">Possible Reasons for High Inflation in 2019 </t>
  </si>
  <si>
    <t>Y-O-Y</t>
  </si>
  <si>
    <t>growth per year</t>
  </si>
  <si>
    <t>1. Food Price Surge</t>
  </si>
  <si>
    <r>
      <rPr>
        <rFont val="Calibri"/>
        <b/>
        <color theme="1"/>
        <sz val="11.0"/>
      </rPr>
      <t>Vegetable prices</t>
    </r>
    <r>
      <rPr>
        <rFont val="Calibri"/>
        <b val="0"/>
        <color theme="1"/>
        <sz val="11.0"/>
      </rPr>
      <t xml:space="preserve"> (especially onions) spiked sharply in 2019 due to supply disruptions, delayed monsoons, and crop damage.</t>
    </r>
  </si>
  <si>
    <t>According to RBI and MoSPI reports, food inflation rose from near 0% to over 10% by late 2019.</t>
  </si>
  <si>
    <t>2. Crude Oil Prices</t>
  </si>
  <si>
    <t>Global crude oil prices were relatively high and volatile in 2019.</t>
  </si>
  <si>
    <r>
      <rPr>
        <rFont val="Calibri"/>
        <color theme="1"/>
        <sz val="11.0"/>
      </rPr>
      <t xml:space="preserve">India, being a major oil importer, saw </t>
    </r>
    <r>
      <rPr>
        <rFont val="Calibri"/>
        <b/>
        <color theme="1"/>
        <sz val="11.0"/>
      </rPr>
      <t>pass-through effects on fuel and transportation costs</t>
    </r>
    <r>
      <rPr>
        <rFont val="Calibri"/>
        <color theme="1"/>
        <sz val="11.0"/>
      </rPr>
      <t>, which in turn affected overall prices.</t>
    </r>
  </si>
  <si>
    <t>3. Weak Rupee</t>
  </si>
  <si>
    <t>1-&gt; Inflation peaked in 2019 at 7.74%, the highest during the 2017–2023 period.</t>
  </si>
  <si>
    <t>The INR depreciated against the USD during parts of 2019, making imports (including oil and raw materials) more expensive.</t>
  </si>
  <si>
    <t>3-&gt; After a dip in 2018 to 2.34%, inflation surged dramatically the following year.</t>
  </si>
  <si>
    <t>4. Low Base Effect</t>
  </si>
  <si>
    <t>4-&gt; From 2020 to 2022, inflation remained relatively stable between 5.66% and 6.04%.</t>
  </si>
  <si>
    <r>
      <rPr>
        <rFont val="Calibri"/>
        <color theme="1"/>
        <sz val="11.0"/>
      </rPr>
      <t xml:space="preserve">2018 had unusually </t>
    </r>
    <r>
      <rPr>
        <rFont val="Calibri"/>
        <b/>
        <color theme="1"/>
        <sz val="11.0"/>
      </rPr>
      <t>low inflation (2.34%)</t>
    </r>
    <r>
      <rPr>
        <rFont val="Calibri"/>
        <color theme="1"/>
        <sz val="11.0"/>
      </rPr>
      <t>, so even a moderate rise in prices in 2019 looked large in YoY terms.</t>
    </r>
  </si>
  <si>
    <t>4-&gt; Inflation more than tripled from 2018 (2.34%) to 2019 (7.74%), indicating a sudden economic pressure spike</t>
  </si>
  <si>
    <t>5. Supply-Side Constraints</t>
  </si>
  <si>
    <t>Issues like floods in some states, delayed harvests, and poor logistics contributed to supply bottlenecks, especially in perishable categories.</t>
  </si>
  <si>
    <t>NOTES:</t>
  </si>
  <si>
    <t>For 2023, we only have data of 3 months, from January to March, that is why its inflation rate is low.</t>
  </si>
  <si>
    <t>2020 JUNE TO 2023 MAY</t>
  </si>
  <si>
    <t>Absolute change in inflation</t>
  </si>
  <si>
    <t>MONTHS</t>
  </si>
  <si>
    <t>Rural+Uraban</t>
  </si>
  <si>
    <t>Inflation rate</t>
  </si>
  <si>
    <t>Inflation Rate</t>
  </si>
  <si>
    <t>Rural + Urban:</t>
  </si>
  <si>
    <t>AUGUST</t>
  </si>
  <si>
    <r>
      <rPr>
        <rFont val="Calibri"/>
        <b/>
        <color theme="1"/>
        <sz val="11.0"/>
      </rPr>
      <t>June:</t>
    </r>
    <r>
      <rPr>
        <rFont val="Calibri"/>
        <b val="0"/>
        <color theme="1"/>
        <sz val="11.0"/>
      </rPr>
      <t xml:space="preserve"> 1.12%</t>
    </r>
  </si>
  <si>
    <t>SEPTEMBER</t>
  </si>
  <si>
    <t>OCTOBER</t>
  </si>
  <si>
    <r>
      <rPr>
        <rFont val="Calibri"/>
        <b/>
        <color theme="1"/>
        <sz val="11.0"/>
      </rPr>
      <t>May:</t>
    </r>
    <r>
      <rPr>
        <rFont val="Calibri"/>
        <b val="0"/>
        <color theme="1"/>
        <sz val="11.0"/>
      </rPr>
      <t xml:space="preserve"> 0.85%</t>
    </r>
  </si>
  <si>
    <t>NOVEMBER</t>
  </si>
  <si>
    <t>DECEMBER</t>
  </si>
  <si>
    <r>
      <rPr>
        <rFont val="Calibri"/>
        <b/>
        <color theme="1"/>
        <sz val="11.0"/>
      </rPr>
      <t>Absolute Change:</t>
    </r>
    <r>
      <rPr>
        <rFont val="Calibri"/>
        <b val="0"/>
        <color theme="1"/>
        <sz val="11.0"/>
      </rPr>
      <t xml:space="preserve"> |1.12 - 0.85| = </t>
    </r>
    <r>
      <rPr>
        <rFont val="Calibri"/>
        <b/>
        <color theme="1"/>
        <sz val="11.0"/>
      </rPr>
      <t>0.27%</t>
    </r>
  </si>
  <si>
    <t>JANUARY</t>
  </si>
  <si>
    <t>FEBRUARY</t>
  </si>
  <si>
    <t>MARCH</t>
  </si>
  <si>
    <t>APRIL</t>
  </si>
  <si>
    <t>🔹 Rural:</t>
  </si>
  <si>
    <t>MAY</t>
  </si>
  <si>
    <t>1-&gt; After June, May is the month with highest food inflation in all 3 sectors.</t>
  </si>
  <si>
    <r>
      <rPr>
        <rFont val="Calibri"/>
        <b/>
        <color theme="1"/>
        <sz val="11.0"/>
      </rPr>
      <t>June:</t>
    </r>
    <r>
      <rPr>
        <rFont val="Calibri"/>
        <b val="0"/>
        <color theme="1"/>
        <sz val="11.0"/>
      </rPr>
      <t xml:space="preserve"> 1.02%</t>
    </r>
  </si>
  <si>
    <t xml:space="preserve">2-&gt;  February recorded the lowest inflation across all sectors EXCEPT Urban, </t>
  </si>
  <si>
    <r>
      <rPr>
        <rFont val="Calibri"/>
        <b/>
        <color theme="1"/>
        <sz val="11.0"/>
      </rPr>
      <t>May:</t>
    </r>
    <r>
      <rPr>
        <rFont val="Calibri"/>
        <b val="0"/>
        <color theme="1"/>
        <sz val="11.0"/>
      </rPr>
      <t xml:space="preserve"> 0.82%</t>
    </r>
  </si>
  <si>
    <t xml:space="preserve">        showing a significant deflationary trend.</t>
  </si>
  <si>
    <t>Rural+ urban</t>
  </si>
  <si>
    <r>
      <rPr>
        <rFont val="Calibri"/>
        <b/>
        <color theme="1"/>
        <sz val="11.0"/>
      </rPr>
      <t>Absolute Change:</t>
    </r>
    <r>
      <rPr>
        <rFont val="Calibri"/>
        <b val="0"/>
        <color theme="1"/>
        <sz val="11.0"/>
      </rPr>
      <t xml:space="preserve"> |1.02 - 0.82| = </t>
    </r>
    <r>
      <rPr>
        <rFont val="Calibri"/>
        <b/>
        <color theme="1"/>
        <sz val="11.0"/>
      </rPr>
      <t>0.20%</t>
    </r>
  </si>
  <si>
    <t xml:space="preserve">3-&gt; </t>
  </si>
  <si>
    <t>🔹 Urban:</t>
  </si>
  <si>
    <r>
      <rPr>
        <rFont val="Calibri"/>
        <b/>
        <color theme="1"/>
        <sz val="11.0"/>
      </rPr>
      <t>June:</t>
    </r>
    <r>
      <rPr>
        <rFont val="Calibri"/>
        <b val="0"/>
        <color theme="1"/>
        <sz val="11.0"/>
      </rPr>
      <t xml:space="preserve"> 1.23%</t>
    </r>
  </si>
  <si>
    <t>4-&gt; Biggest Individual Category Contributor for the Border Category Food is Spices in all three sectors.</t>
  </si>
  <si>
    <r>
      <rPr>
        <rFont val="Calibri"/>
        <b/>
        <color theme="1"/>
        <sz val="11.0"/>
      </rPr>
      <t>May:</t>
    </r>
    <r>
      <rPr>
        <rFont val="Calibri"/>
        <b val="0"/>
        <color theme="1"/>
        <sz val="11.0"/>
      </rPr>
      <t xml:space="preserve"> 0.86%</t>
    </r>
  </si>
  <si>
    <t>5-&gt;  Oils and fats saw the steepest deflation, especially in Rural areas with a -17% decline.</t>
  </si>
  <si>
    <r>
      <rPr>
        <rFont val="Calibri"/>
        <b/>
        <color theme="1"/>
        <sz val="11.0"/>
      </rPr>
      <t>Absolute Change:</t>
    </r>
    <r>
      <rPr>
        <rFont val="Calibri"/>
        <b val="0"/>
        <color theme="1"/>
        <sz val="11.0"/>
      </rPr>
      <t xml:space="preserve"> |1.23 - 0.86| = </t>
    </r>
    <r>
      <rPr>
        <rFont val="Calibri"/>
        <b/>
        <color theme="1"/>
        <sz val="11.0"/>
      </rPr>
      <t>0.37%</t>
    </r>
  </si>
  <si>
    <t xml:space="preserve">1-&gt;In 2019–2020, Food inflation spiked to 9.70%, a dramatic </t>
  </si>
  <si>
    <t>rise compared to 2.28% and -0.61% in the prior years.</t>
  </si>
  <si>
    <t>2-&gt; After 2020, Goods, Services &amp; Transport (G, S&amp;T) inflation</t>
  </si>
  <si>
    <t xml:space="preserve"> consistently rose, peaking at 8.53% in 2022–2023.</t>
  </si>
  <si>
    <t>MARCH - FEB</t>
  </si>
  <si>
    <t>BEFORE COVID</t>
  </si>
  <si>
    <t>G, S&amp;T</t>
  </si>
  <si>
    <t>2017-2018</t>
  </si>
  <si>
    <t xml:space="preserve">3-&gt; After the COVID onset, Food inflation dropped from </t>
  </si>
  <si>
    <t>2018-2019</t>
  </si>
  <si>
    <t>9.70% to 5.07%, and then remained in the 2.39%–5.8% range.</t>
  </si>
  <si>
    <t>2019-2020</t>
  </si>
  <si>
    <t xml:space="preserve">4-&gt; Prices of food stayed elevated, then cooled in 2022–23 — perhaps </t>
  </si>
  <si>
    <t>due to restored agricultural supply chains or government interventions.</t>
  </si>
  <si>
    <t>APRIL - MARCH</t>
  </si>
  <si>
    <t>AFTER COVID</t>
  </si>
  <si>
    <t>2020-2021</t>
  </si>
  <si>
    <t>2021-2022</t>
  </si>
  <si>
    <t>2022-2023</t>
  </si>
  <si>
    <r>
      <rPr>
        <rFont val="Calibri"/>
        <b/>
        <color theme="1"/>
        <sz val="11.0"/>
      </rPr>
      <t>NOTE</t>
    </r>
    <r>
      <rPr>
        <rFont val="Calibri"/>
        <color theme="1"/>
        <sz val="11.0"/>
      </rPr>
      <t>:</t>
    </r>
  </si>
  <si>
    <t>only for health sector the  data is present for gst  is in april 2020</t>
  </si>
  <si>
    <t>no data for s&amp;m  in april 2020    -</t>
  </si>
  <si>
    <t>data for meat and fish in 2020 april in unavailable</t>
  </si>
  <si>
    <t>USED AVERAGE FOR BUCKETS</t>
  </si>
  <si>
    <t>2021 JAN - 2022 DEC</t>
  </si>
  <si>
    <t>YEAR</t>
  </si>
  <si>
    <t>MONTH</t>
  </si>
  <si>
    <t>OIL</t>
  </si>
  <si>
    <t>jan</t>
  </si>
  <si>
    <t>feb</t>
  </si>
  <si>
    <t>mar</t>
  </si>
  <si>
    <t>apr</t>
  </si>
  <si>
    <t xml:space="preserve">1-&gt; Meat and Fish is most positive correlated , means with </t>
  </si>
  <si>
    <t>may</t>
  </si>
  <si>
    <t xml:space="preserve">change in oil prices the meat and fish prices also get hugely </t>
  </si>
  <si>
    <t>jun</t>
  </si>
  <si>
    <t>affected positively. [ With increase in oil price Meat and fish price also increases</t>
  </si>
  <si>
    <t>RURAL + URBAN</t>
  </si>
  <si>
    <t>jul</t>
  </si>
  <si>
    <t>aug</t>
  </si>
  <si>
    <t xml:space="preserve">2-&gt; Similarly Fruits and T&amp; C category are 2nd and 3rd most </t>
  </si>
  <si>
    <t>sep</t>
  </si>
  <si>
    <t xml:space="preserve">      correlated categories respectively</t>
  </si>
  <si>
    <t>oct</t>
  </si>
  <si>
    <t>nov</t>
  </si>
  <si>
    <t xml:space="preserve">3-&gt; Egg is the only negative correlated Category , </t>
  </si>
  <si>
    <t>dec</t>
  </si>
  <si>
    <t xml:space="preserve">     As oil prices increase, egg prices tend to decrease slightly, and vice versa.</t>
  </si>
  <si>
    <t>ANALYSIS OF INFLATION OF BROADER CATEGORY OVER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</si>
</sst>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48.0"/>
      <color theme="1"/>
      <name val="Calibri"/>
    </font>
    <font>
      <b/>
      <sz val="14.0"/>
      <color theme="1"/>
      <name val="Arial Black"/>
    </font>
    <font>
      <b/>
      <sz val="11.0"/>
      <color theme="1"/>
      <name val="Arial Black"/>
    </font>
    <font>
      <sz val="9.0"/>
      <color theme="1"/>
      <name val="Calibri"/>
    </font>
    <font>
      <sz val="10.0"/>
      <color theme="1"/>
      <name val="Calibri"/>
    </font>
    <font>
      <b/>
      <u/>
      <sz val="11.0"/>
      <color theme="1"/>
      <name val="Calibri"/>
    </font>
    <font>
      <sz val="11.0"/>
      <color rgb="FF0C0C0C"/>
      <name val="Calibri"/>
    </font>
    <font/>
    <font>
      <b/>
      <sz val="11.0"/>
      <color rgb="FF0C0C0C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sz val="18.0"/>
      <color theme="1"/>
      <name val="Calibri"/>
    </font>
    <font>
      <b/>
      <sz val="12.0"/>
      <color theme="1"/>
      <name val="Calibri"/>
    </font>
    <font>
      <i/>
      <u/>
      <sz val="11.0"/>
      <color theme="1"/>
      <name val="Calibri"/>
    </font>
    <font>
      <b/>
      <sz val="20.0"/>
      <color theme="1"/>
      <name val="Calibri"/>
    </font>
    <font>
      <b/>
      <sz val="13.0"/>
      <color theme="1"/>
      <name val="Calibri"/>
    </font>
    <font>
      <sz val="14.0"/>
      <color rgb="FF006100"/>
      <name val="Calibri"/>
    </font>
    <font>
      <sz val="16.0"/>
      <color theme="1"/>
      <name val="Calibri"/>
    </font>
    <font>
      <sz val="13.0"/>
      <color theme="1"/>
      <name val="Calibri"/>
    </font>
    <font>
      <b/>
      <sz val="18.0"/>
      <color theme="1"/>
      <name val="Calibri"/>
    </font>
    <font>
      <sz val="12.0"/>
      <color theme="1"/>
      <name val="Times New Roman"/>
    </font>
    <font>
      <sz val="22.0"/>
      <color theme="1"/>
      <name val="Calibri"/>
    </font>
    <font>
      <b/>
      <sz val="16.0"/>
      <color theme="1"/>
      <name val="Calibri"/>
    </font>
    <font>
      <b/>
      <sz val="26.0"/>
      <color rgb="FF1F3864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8496B0"/>
        <bgColor rgb="FF8496B0"/>
      </patternFill>
    </fill>
    <fill>
      <patternFill patternType="solid">
        <fgColor rgb="FFFBE4D5"/>
        <bgColor rgb="FFFBE4D5"/>
      </patternFill>
    </fill>
    <fill>
      <patternFill patternType="solid">
        <fgColor rgb="FFFF5050"/>
        <bgColor rgb="FFFF5050"/>
      </patternFill>
    </fill>
    <fill>
      <patternFill patternType="solid">
        <fgColor rgb="FFFFC000"/>
        <bgColor rgb="FFFFC000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  <fill>
      <patternFill patternType="solid">
        <fgColor rgb="FFDC3939"/>
        <bgColor rgb="FFDC3939"/>
      </patternFill>
    </fill>
    <fill>
      <patternFill patternType="solid">
        <fgColor rgb="FFBFBFBF"/>
        <bgColor rgb="FFBFBFBF"/>
      </patternFill>
    </fill>
    <fill>
      <patternFill patternType="solid">
        <fgColor rgb="FFC6EFCE"/>
        <bgColor rgb="FFC6EFCE"/>
      </patternFill>
    </fill>
    <fill>
      <patternFill patternType="solid">
        <fgColor rgb="FFF4B083"/>
        <bgColor rgb="FFF4B083"/>
      </patternFill>
    </fill>
    <fill>
      <patternFill patternType="solid">
        <fgColor rgb="FFECECEC"/>
        <bgColor rgb="FFECECEC"/>
      </patternFill>
    </fill>
  </fills>
  <borders count="53">
    <border/>
    <border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bottom/>
    </border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 style="thin">
        <color rgb="FF8EAADB"/>
      </right>
      <top style="thin">
        <color rgb="FF8EAADB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 style="thin">
        <color rgb="FF000000"/>
      </right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</border>
    <border>
      <left/>
      <right/>
      <bottom style="thick">
        <color rgb="FFA1B8E1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0" xfId="0" applyFont="1" applyNumberFormat="1"/>
    <xf borderId="0" fillId="0" fontId="2" numFmtId="0" xfId="0" applyFont="1"/>
    <xf borderId="0" fillId="0" fontId="2" numFmtId="9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2" numFmtId="0" xfId="0" applyBorder="1" applyFont="1"/>
    <xf borderId="2" fillId="0" fontId="6" numFmtId="0" xfId="0" applyBorder="1" applyFont="1"/>
    <xf borderId="3" fillId="0" fontId="6" numFmtId="0" xfId="0" applyBorder="1" applyFont="1"/>
    <xf borderId="0" fillId="0" fontId="7" numFmtId="0" xfId="0" applyFont="1"/>
    <xf borderId="0" fillId="0" fontId="1" numFmtId="0" xfId="0" applyAlignment="1" applyFont="1">
      <alignment readingOrder="0"/>
    </xf>
    <xf borderId="0" fillId="0" fontId="8" numFmtId="0" xfId="0" applyFont="1"/>
    <xf borderId="4" fillId="2" fontId="9" numFmtId="0" xfId="0" applyAlignment="1" applyBorder="1" applyFill="1" applyFont="1">
      <alignment horizontal="center"/>
    </xf>
    <xf borderId="5" fillId="0" fontId="10" numFmtId="0" xfId="0" applyBorder="1" applyFont="1"/>
    <xf borderId="6" fillId="3" fontId="11" numFmtId="0" xfId="0" applyBorder="1" applyFill="1" applyFont="1"/>
    <xf borderId="7" fillId="4" fontId="11" numFmtId="0" xfId="0" applyBorder="1" applyFill="1" applyFont="1"/>
    <xf borderId="7" fillId="5" fontId="11" numFmtId="0" xfId="0" applyBorder="1" applyFill="1" applyFont="1"/>
    <xf borderId="7" fillId="6" fontId="11" numFmtId="0" xfId="0" applyBorder="1" applyFill="1" applyFont="1"/>
    <xf borderId="8" fillId="6" fontId="11" numFmtId="0" xfId="0" applyBorder="1" applyFont="1"/>
    <xf borderId="6" fillId="3" fontId="2" numFmtId="0" xfId="0" applyBorder="1" applyFont="1"/>
    <xf borderId="7" fillId="4" fontId="2" numFmtId="0" xfId="0" applyBorder="1" applyFont="1"/>
    <xf borderId="7" fillId="5" fontId="2" numFmtId="0" xfId="0" applyBorder="1" applyFont="1"/>
    <xf borderId="7" fillId="6" fontId="2" numFmtId="0" xfId="0" applyBorder="1" applyFont="1"/>
    <xf borderId="7" fillId="4" fontId="2" numFmtId="9" xfId="0" applyBorder="1" applyFont="1" applyNumberFormat="1"/>
    <xf borderId="7" fillId="5" fontId="2" numFmtId="9" xfId="0" applyBorder="1" applyFont="1" applyNumberFormat="1"/>
    <xf borderId="8" fillId="6" fontId="2" numFmtId="9" xfId="0" applyBorder="1" applyFont="1" applyNumberFormat="1"/>
    <xf borderId="2" fillId="7" fontId="12" numFmtId="0" xfId="0" applyBorder="1" applyFill="1" applyFont="1"/>
    <xf borderId="2" fillId="7" fontId="12" numFmtId="9" xfId="0" applyBorder="1" applyFont="1" applyNumberFormat="1"/>
    <xf borderId="9" fillId="0" fontId="2" numFmtId="0" xfId="0" applyBorder="1" applyFont="1"/>
    <xf borderId="10" fillId="0" fontId="2" numFmtId="0" xfId="0" applyBorder="1" applyFont="1"/>
    <xf borderId="10" fillId="0" fontId="2" numFmtId="10" xfId="0" applyBorder="1" applyFont="1" applyNumberFormat="1"/>
    <xf borderId="11" fillId="0" fontId="2" numFmtId="0" xfId="0" applyBorder="1" applyFont="1"/>
    <xf borderId="12" fillId="0" fontId="12" numFmtId="0" xfId="0" applyAlignment="1" applyBorder="1" applyFont="1">
      <alignment shrinkToFit="0" wrapText="1"/>
    </xf>
    <xf borderId="13" fillId="0" fontId="10" numFmtId="0" xfId="0" applyBorder="1" applyFont="1"/>
    <xf borderId="0" fillId="0" fontId="12" numFmtId="0" xfId="0" applyAlignment="1" applyFont="1">
      <alignment shrinkToFit="0" wrapText="1"/>
    </xf>
    <xf borderId="13" fillId="0" fontId="2" numFmtId="0" xfId="0" applyBorder="1" applyFont="1"/>
    <xf borderId="12" fillId="0" fontId="12" numFmtId="0" xfId="0" applyBorder="1" applyFont="1"/>
    <xf borderId="0" fillId="0" fontId="12" numFmtId="0" xfId="0" applyFont="1"/>
    <xf borderId="14" fillId="0" fontId="1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2" numFmtId="0" xfId="0" applyAlignment="1" applyBorder="1" applyFont="1">
      <alignment shrinkToFit="0" wrapText="1"/>
    </xf>
    <xf borderId="21" fillId="0" fontId="10" numFmtId="0" xfId="0" applyBorder="1" applyFont="1"/>
    <xf borderId="22" fillId="0" fontId="10" numFmtId="0" xfId="0" applyBorder="1" applyFont="1"/>
    <xf borderId="0" fillId="0" fontId="13" numFmtId="0" xfId="0" applyAlignment="1" applyFont="1">
      <alignment horizontal="center"/>
    </xf>
    <xf borderId="0" fillId="0" fontId="14" numFmtId="0" xfId="0" applyFont="1"/>
    <xf borderId="0" fillId="0" fontId="15" numFmtId="0" xfId="0" applyAlignment="1" applyFont="1">
      <alignment vertical="center"/>
    </xf>
    <xf borderId="0" fillId="0" fontId="14" numFmtId="10" xfId="0" applyFont="1" applyNumberFormat="1"/>
    <xf borderId="0" fillId="0" fontId="12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9" fillId="0" fontId="12" numFmtId="0" xfId="0" applyBorder="1" applyFont="1"/>
    <xf borderId="12" fillId="0" fontId="2" numFmtId="0" xfId="0" applyBorder="1" applyFont="1"/>
    <xf borderId="15" fillId="0" fontId="2" numFmtId="10" xfId="0" applyBorder="1" applyFont="1" applyNumberFormat="1"/>
    <xf borderId="0" fillId="0" fontId="16" numFmtId="0" xfId="0" applyFont="1"/>
    <xf borderId="0" fillId="0" fontId="17" numFmtId="0" xfId="0" applyAlignment="1" applyFont="1">
      <alignment horizontal="center"/>
    </xf>
    <xf borderId="23" fillId="0" fontId="12" numFmtId="0" xfId="0" applyAlignment="1" applyBorder="1" applyFont="1">
      <alignment horizontal="center"/>
    </xf>
    <xf borderId="2" fillId="8" fontId="2" numFmtId="0" xfId="0" applyBorder="1" applyFill="1" applyFont="1"/>
    <xf borderId="2" fillId="4" fontId="2" numFmtId="0" xfId="0" applyAlignment="1" applyBorder="1" applyFont="1">
      <alignment horizontal="center"/>
    </xf>
    <xf borderId="24" fillId="4" fontId="2" numFmtId="0" xfId="0" applyAlignment="1" applyBorder="1" applyFont="1">
      <alignment horizontal="center"/>
    </xf>
    <xf borderId="25" fillId="0" fontId="2" numFmtId="0" xfId="0" applyBorder="1" applyFont="1"/>
    <xf borderId="2" fillId="4" fontId="2" numFmtId="10" xfId="0" applyBorder="1" applyFont="1" applyNumberFormat="1"/>
    <xf borderId="24" fillId="4" fontId="2" numFmtId="10" xfId="0" applyAlignment="1" applyBorder="1" applyFont="1" applyNumberFormat="1">
      <alignment horizontal="right"/>
    </xf>
    <xf borderId="2" fillId="9" fontId="2" numFmtId="0" xfId="0" applyBorder="1" applyFill="1" applyFont="1"/>
    <xf borderId="2" fillId="4" fontId="2" numFmtId="0" xfId="0" applyBorder="1" applyFont="1"/>
    <xf borderId="2" fillId="10" fontId="2" numFmtId="0" xfId="0" applyBorder="1" applyFill="1" applyFont="1"/>
    <xf borderId="2" fillId="11" fontId="2" numFmtId="0" xfId="0" applyAlignment="1" applyBorder="1" applyFill="1" applyFont="1">
      <alignment horizontal="center"/>
    </xf>
    <xf borderId="24" fillId="4" fontId="2" numFmtId="0" xfId="0" applyAlignment="1" applyBorder="1" applyFont="1">
      <alignment horizontal="right"/>
    </xf>
    <xf borderId="2" fillId="12" fontId="2" numFmtId="0" xfId="0" applyAlignment="1" applyBorder="1" applyFill="1" applyFont="1">
      <alignment horizontal="center"/>
    </xf>
    <xf borderId="26" fillId="0" fontId="18" numFmtId="0" xfId="0" applyAlignment="1" applyBorder="1" applyFont="1">
      <alignment vertical="center"/>
    </xf>
    <xf borderId="26" fillId="0" fontId="2" numFmtId="0" xfId="0" applyAlignment="1" applyBorder="1" applyFont="1">
      <alignment horizontal="left" vertical="center"/>
    </xf>
    <xf borderId="26" fillId="0" fontId="12" numFmtId="0" xfId="0" applyAlignment="1" applyBorder="1" applyFont="1">
      <alignment horizontal="left"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1" fillId="0" fontId="7" numFmtId="0" xfId="0" applyBorder="1" applyFont="1"/>
    <xf borderId="0" fillId="0" fontId="7" numFmtId="10" xfId="0" applyFont="1" applyNumberFormat="1"/>
    <xf borderId="32" fillId="13" fontId="2" numFmtId="0" xfId="0" applyBorder="1" applyFill="1" applyFont="1"/>
    <xf borderId="33" fillId="13" fontId="2" numFmtId="0" xfId="0" applyBorder="1" applyFont="1"/>
    <xf borderId="2" fillId="14" fontId="2" numFmtId="0" xfId="0" applyBorder="1" applyFill="1" applyFont="1"/>
    <xf borderId="2" fillId="5" fontId="7" numFmtId="0" xfId="0" applyBorder="1" applyFont="1"/>
    <xf borderId="34" fillId="13" fontId="2" numFmtId="0" xfId="0" applyBorder="1" applyFont="1"/>
    <xf borderId="35" fillId="0" fontId="10" numFmtId="0" xfId="0" applyBorder="1" applyFont="1"/>
    <xf borderId="2" fillId="11" fontId="2" numFmtId="9" xfId="0" applyAlignment="1" applyBorder="1" applyFont="1" applyNumberFormat="1">
      <alignment horizontal="center"/>
    </xf>
    <xf borderId="2" fillId="14" fontId="2" numFmtId="9" xfId="0" applyBorder="1" applyFont="1" applyNumberFormat="1"/>
    <xf borderId="2" fillId="5" fontId="7" numFmtId="9" xfId="0" applyBorder="1" applyFont="1" applyNumberForma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12" numFmtId="0" xfId="0" applyAlignment="1" applyBorder="1" applyFont="1">
      <alignment horizontal="left" vertical="center"/>
    </xf>
    <xf borderId="9" fillId="0" fontId="14" numFmtId="0" xfId="0" applyBorder="1" applyFont="1"/>
    <xf borderId="4" fillId="15" fontId="19" numFmtId="0" xfId="0" applyAlignment="1" applyBorder="1" applyFill="1" applyFont="1">
      <alignment horizontal="center" textRotation="90"/>
    </xf>
    <xf borderId="0" fillId="0" fontId="20" numFmtId="0" xfId="0" applyFont="1"/>
    <xf borderId="40" fillId="0" fontId="10" numFmtId="0" xfId="0" applyBorder="1" applyFont="1"/>
    <xf borderId="0" fillId="0" fontId="20" numFmtId="10" xfId="0" applyFont="1" applyNumberFormat="1"/>
    <xf borderId="12" fillId="0" fontId="7" numFmtId="0" xfId="0" applyBorder="1" applyFont="1"/>
    <xf borderId="4" fillId="16" fontId="21" numFmtId="0" xfId="0" applyAlignment="1" applyBorder="1" applyFill="1" applyFont="1">
      <alignment horizontal="center" textRotation="90"/>
    </xf>
    <xf borderId="0" fillId="0" fontId="20" numFmtId="10" xfId="0" applyAlignment="1" applyFont="1" applyNumberFormat="1">
      <alignment horizontal="center"/>
    </xf>
    <xf borderId="14" fillId="0" fontId="2" numFmtId="0" xfId="0" applyBorder="1" applyFont="1"/>
    <xf borderId="41" fillId="0" fontId="10" numFmtId="0" xfId="0" applyBorder="1" applyFont="1"/>
    <xf borderId="0" fillId="0" fontId="22" numFmtId="0" xfId="0" applyAlignment="1" applyFont="1">
      <alignment horizontal="center"/>
    </xf>
    <xf borderId="42" fillId="17" fontId="2" numFmtId="0" xfId="0" applyAlignment="1" applyBorder="1" applyFill="1" applyFont="1">
      <alignment horizontal="center"/>
    </xf>
    <xf borderId="43" fillId="17" fontId="2" numFmtId="0" xfId="0" applyAlignment="1" applyBorder="1" applyFont="1">
      <alignment horizontal="center"/>
    </xf>
    <xf borderId="44" fillId="17" fontId="2" numFmtId="0" xfId="0" applyAlignment="1" applyBorder="1" applyFont="1">
      <alignment horizontal="center"/>
    </xf>
    <xf borderId="45" fillId="0" fontId="6" numFmtId="0" xfId="0" applyBorder="1" applyFont="1"/>
    <xf borderId="46" fillId="17" fontId="2" numFmtId="0" xfId="0" applyAlignment="1" applyBorder="1" applyFont="1">
      <alignment horizontal="center"/>
    </xf>
    <xf borderId="32" fillId="17" fontId="2" numFmtId="0" xfId="0" applyAlignment="1" applyBorder="1" applyFont="1">
      <alignment horizontal="center"/>
    </xf>
    <xf borderId="47" fillId="17" fontId="23" numFmtId="4" xfId="0" applyAlignment="1" applyBorder="1" applyFont="1" applyNumberFormat="1">
      <alignment horizontal="center" vertical="center"/>
    </xf>
    <xf borderId="45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13" fillId="0" fontId="24" numFmtId="0" xfId="0" applyAlignment="1" applyBorder="1" applyFont="1">
      <alignment textRotation="90"/>
    </xf>
    <xf borderId="48" fillId="17" fontId="2" numFmtId="0" xfId="0" applyAlignment="1" applyBorder="1" applyFont="1">
      <alignment horizontal="center"/>
    </xf>
    <xf borderId="49" fillId="17" fontId="2" numFmtId="0" xfId="0" applyAlignment="1" applyBorder="1" applyFont="1">
      <alignment horizontal="center"/>
    </xf>
    <xf borderId="50" fillId="17" fontId="23" numFmtId="4" xfId="0" applyAlignment="1" applyBorder="1" applyFont="1" applyNumberFormat="1">
      <alignment horizontal="center" vertical="center"/>
    </xf>
    <xf borderId="51" fillId="0" fontId="12" numFmtId="0" xfId="0" applyAlignment="1" applyBorder="1" applyFont="1">
      <alignment horizontal="center"/>
    </xf>
    <xf borderId="52" fillId="0" fontId="10" numFmtId="0" xfId="0" applyBorder="1" applyFont="1"/>
    <xf borderId="2" fillId="0" fontId="2" numFmtId="0" xfId="0" applyBorder="1" applyFont="1"/>
    <xf borderId="0" fillId="0" fontId="25" numFmtId="0" xfId="0" applyAlignment="1" applyFont="1">
      <alignment horizontal="left" vertical="center"/>
    </xf>
    <xf borderId="0" fillId="0" fontId="26" numFmtId="0" xfId="0" applyAlignment="1" applyFont="1">
      <alignment horizontal="left" vertical="center"/>
    </xf>
    <xf borderId="0" fillId="0" fontId="6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4">
    <tableStyle count="3" pivot="0" name="Main_Data-style">
      <tableStyleElement dxfId="1" type="headerRow"/>
      <tableStyleElement dxfId="2" type="firstRowStripe"/>
      <tableStyleElement dxfId="3" type="secondRowStripe"/>
    </tableStyle>
    <tableStyle count="3" pivot="0" name="QUES_2-style">
      <tableStyleElement dxfId="1" type="headerRow"/>
      <tableStyleElement dxfId="2" type="firstRowStripe"/>
      <tableStyleElement dxfId="3" type="secondRowStripe"/>
    </tableStyle>
    <tableStyle count="3" pivot="0" name="QUES_4-style">
      <tableStyleElement dxfId="4" type="headerRow"/>
      <tableStyleElement dxfId="5" type="firstRowStripe"/>
      <tableStyleElement dxfId="3" type="secondRowStripe"/>
    </tableStyle>
    <tableStyle count="3" pivot="0" name="QUES_4-style 2">
      <tableStyleElement dxfId="6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FOOD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QUES_1!$G$7:$I$7</c:f>
            </c:strRef>
          </c:cat>
          <c:val>
            <c:numRef>
              <c:f>QUES_1!$G$8:$I$8</c:f>
              <c:numCache/>
            </c:numRef>
          </c:val>
        </c:ser>
        <c:ser>
          <c:idx val="1"/>
          <c:order val="1"/>
          <c:tx>
            <c:v>B&amp;I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QUES_1!$G$7:$I$7</c:f>
            </c:strRef>
          </c:cat>
          <c:val>
            <c:numRef>
              <c:f>QUES_1!$G$9:$I$9</c:f>
              <c:numCache/>
            </c:numRef>
          </c:val>
        </c:ser>
        <c:ser>
          <c:idx val="2"/>
          <c:order val="2"/>
          <c:tx>
            <c:v>C&amp;H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QUES_1!$G$7:$I$7</c:f>
            </c:strRef>
          </c:cat>
          <c:val>
            <c:numRef>
              <c:f>QUES_1!$G$10:$I$10</c:f>
              <c:numCache/>
            </c:numRef>
          </c:val>
        </c:ser>
        <c:ser>
          <c:idx val="3"/>
          <c:order val="3"/>
          <c:tx>
            <c:v>G&amp;S,T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QUES_1!$G$7:$I$7</c:f>
            </c:strRef>
          </c:cat>
          <c:val>
            <c:numRef>
              <c:f>QUES_1!$G$11:$I$11</c:f>
              <c:numCache/>
            </c:numRef>
          </c:val>
        </c:ser>
        <c:ser>
          <c:idx val="4"/>
          <c:order val="4"/>
          <c:tx>
            <c:v>S&amp;M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QUES_1!$G$7:$I$7</c:f>
            </c:strRef>
          </c:cat>
          <c:val>
            <c:numRef>
              <c:f>QUES_1!$G$12:$I$12</c:f>
              <c:numCache/>
            </c:numRef>
          </c:val>
        </c:ser>
        <c:overlap val="100"/>
        <c:axId val="923681113"/>
        <c:axId val="1841250573"/>
      </c:barChart>
      <c:catAx>
        <c:axId val="923681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1250573"/>
      </c:catAx>
      <c:valAx>
        <c:axId val="1841250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3681113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Y-O-Y INCREASE IN INFLATION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growth per year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>
                    <a:solidFill>
                      <a:srgbClr val="70AD47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QUES_2!$C$6:$C$12</c:f>
            </c:strRef>
          </c:cat>
          <c:val>
            <c:numRef>
              <c:f>QUES_2!$D$6:$D$12</c:f>
              <c:numCache/>
            </c:numRef>
          </c:val>
        </c:ser>
        <c:overlap val="100"/>
        <c:axId val="673916873"/>
        <c:axId val="1531641693"/>
      </c:barChart>
      <c:catAx>
        <c:axId val="673916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1641693"/>
      </c:catAx>
      <c:valAx>
        <c:axId val="15316416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391687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growth per year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QUES_2!$C$6:$C$12</c:f>
            </c:strRef>
          </c:cat>
          <c:val>
            <c:numRef>
              <c:f>QUES_2!$D$6:$D$12</c:f>
              <c:numCache/>
            </c:numRef>
          </c:val>
          <c:smooth val="0"/>
        </c:ser>
        <c:axId val="372275839"/>
        <c:axId val="478211932"/>
      </c:lineChart>
      <c:catAx>
        <c:axId val="37227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8211932"/>
      </c:catAx>
      <c:valAx>
        <c:axId val="478211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2275839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Monthly Inflation Rate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v>Rural+Uraban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QUES_3!$Z$4:$Z$15</c:f>
            </c:strRef>
          </c:cat>
          <c:val>
            <c:numRef>
              <c:f>QUES_3!$AA$4:$AA$15</c:f>
              <c:numCache/>
            </c:numRef>
          </c:val>
          <c:smooth val="0"/>
        </c:ser>
        <c:ser>
          <c:idx val="1"/>
          <c:order val="1"/>
          <c:tx>
            <c:v>Rural</c:v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6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QUES_3!$Z$4:$Z$15</c:f>
            </c:strRef>
          </c:cat>
          <c:val>
            <c:numRef>
              <c:f>QUES_3!$AB$4:$AB$15</c:f>
              <c:numCache/>
            </c:numRef>
          </c:val>
          <c:smooth val="0"/>
        </c:ser>
        <c:ser>
          <c:idx val="2"/>
          <c:order val="2"/>
          <c:tx>
            <c:v>Urban</c:v>
          </c:tx>
          <c:spPr>
            <a:ln cmpd="sng" w="19050">
              <a:solidFill>
                <a:schemeClr val="accent3"/>
              </a:solidFill>
            </a:ln>
          </c:spPr>
          <c:marker>
            <c:symbol val="circle"/>
            <c:size val="6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QUES_3!$Z$4:$Z$15</c:f>
            </c:strRef>
          </c:cat>
          <c:val>
            <c:numRef>
              <c:f>QUES_3!$AC$4:$AC$15</c:f>
              <c:numCache/>
            </c:numRef>
          </c:val>
          <c:smooth val="0"/>
        </c:ser>
        <c:axId val="1696049275"/>
        <c:axId val="1279899250"/>
      </c:lineChart>
      <c:catAx>
        <c:axId val="1696049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279899250"/>
      </c:catAx>
      <c:valAx>
        <c:axId val="12798992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604927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CATAGORIES CONTRIBUTION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Rural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QUES_3!$K$22:$K$31</c:f>
            </c:strRef>
          </c:cat>
          <c:val>
            <c:numRef>
              <c:f>QUES_3!$M$22:$M$31</c:f>
              <c:numCache/>
            </c:numRef>
          </c:val>
        </c:ser>
        <c:ser>
          <c:idx val="1"/>
          <c:order val="1"/>
          <c:tx>
            <c:v>Urban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QUES_3!$K$22:$K$31</c:f>
            </c:strRef>
          </c:cat>
          <c:val>
            <c:numRef>
              <c:f>QUES_3!$N$22:$N$31</c:f>
              <c:numCache/>
            </c:numRef>
          </c:val>
        </c:ser>
        <c:ser>
          <c:idx val="2"/>
          <c:order val="2"/>
          <c:tx>
            <c:v>Rural+ urban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QUES_3!$K$22:$K$31</c:f>
            </c:strRef>
          </c:cat>
          <c:val>
            <c:numRef>
              <c:f>QUES_3!$O$22:$O$31</c:f>
              <c:numCache/>
            </c:numRef>
          </c:val>
        </c:ser>
        <c:axId val="985326921"/>
        <c:axId val="2119553725"/>
      </c:barChart>
      <c:catAx>
        <c:axId val="985326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9553725"/>
      </c:catAx>
      <c:valAx>
        <c:axId val="2119553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53269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INFLATION BEFORE COVID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G, S&amp;T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QUES_4!$D$14:$D$16</c:f>
            </c:strRef>
          </c:cat>
          <c:val>
            <c:numRef>
              <c:f>QUES_4!$E$14:$E$16</c:f>
              <c:numCache/>
            </c:numRef>
          </c:val>
        </c:ser>
        <c:ser>
          <c:idx val="1"/>
          <c:order val="1"/>
          <c:tx>
            <c:v>S&amp;M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QUES_4!$D$14:$D$16</c:f>
            </c:strRef>
          </c:cat>
          <c:val>
            <c:numRef>
              <c:f>QUES_4!$F$14:$F$16</c:f>
              <c:numCache/>
            </c:numRef>
          </c:val>
        </c:ser>
        <c:ser>
          <c:idx val="2"/>
          <c:order val="2"/>
          <c:tx>
            <c:strRef>
              <c:f>QUES_4!$G$13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QUES_4!$D$14:$D$16</c:f>
            </c:strRef>
          </c:cat>
          <c:val>
            <c:numRef>
              <c:f>QUES_4!$G$14:$G$16</c:f>
              <c:numCache/>
            </c:numRef>
          </c:val>
        </c:ser>
        <c:axId val="2112627720"/>
        <c:axId val="82441811"/>
      </c:barChart>
      <c:catAx>
        <c:axId val="2112627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441811"/>
      </c:catAx>
      <c:valAx>
        <c:axId val="824418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26277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INFLATION AFTER COVID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Food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QUES_4!$C$22:$C$24</c:f>
            </c:strRef>
          </c:cat>
          <c:val>
            <c:numRef>
              <c:f>QUES_4!$D$22:$D$24</c:f>
              <c:numCache/>
            </c:numRef>
          </c:val>
        </c:ser>
        <c:ser>
          <c:idx val="1"/>
          <c:order val="1"/>
          <c:tx>
            <c:v>G, S&amp;T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QUES_4!$C$22:$C$24</c:f>
            </c:strRef>
          </c:cat>
          <c:val>
            <c:numRef>
              <c:f>QUES_4!$E$22:$E$24</c:f>
              <c:numCache/>
            </c:numRef>
          </c:val>
        </c:ser>
        <c:ser>
          <c:idx val="2"/>
          <c:order val="2"/>
          <c:tx>
            <c:v>S&amp;M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QUES_4!$C$22:$C$24</c:f>
            </c:strRef>
          </c:cat>
          <c:val>
            <c:numRef>
              <c:f>QUES_4!$F$22:$F$24</c:f>
              <c:numCache/>
            </c:numRef>
          </c:val>
        </c:ser>
        <c:ser>
          <c:idx val="3"/>
          <c:order val="3"/>
          <c:tx>
            <c:strRef>
              <c:f>QUES_4!$G$21</c:f>
            </c:strRef>
          </c:tx>
          <c:cat>
            <c:strRef>
              <c:f>QUES_4!$C$22:$C$24</c:f>
            </c:strRef>
          </c:cat>
          <c:val>
            <c:numRef>
              <c:f>QUES_4!$G$22:$G$24</c:f>
              <c:numCache/>
            </c:numRef>
          </c:val>
        </c:ser>
        <c:axId val="1867415012"/>
        <c:axId val="977228161"/>
      </c:barChart>
      <c:catAx>
        <c:axId val="1867415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7228161"/>
      </c:catAx>
      <c:valAx>
        <c:axId val="9772281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74150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CORRELATION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QUES_5!$E$31:$AE$31</c:f>
            </c:strRef>
          </c:cat>
          <c:val>
            <c:numRef>
              <c:f>QUES_5!$E$32:$AE$32</c:f>
              <c:numCache/>
            </c:numRef>
          </c:val>
        </c:ser>
        <c:axId val="489577231"/>
        <c:axId val="1524692735"/>
      </c:barChart>
      <c:catAx>
        <c:axId val="48957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4692735"/>
      </c:catAx>
      <c:valAx>
        <c:axId val="1524692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9577231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Y-O-Y INCREASE IN INFLATION</a:t>
            </a:r>
          </a:p>
        </c:rich>
      </c:tx>
      <c:overlay val="0"/>
    </c:title>
    <c:plotArea>
      <c:layout>
        <c:manualLayout>
          <c:xMode val="edge"/>
          <c:yMode val="edge"/>
          <c:x val="0.14344706911636046"/>
          <c:y val="0.25491408934707904"/>
          <c:w val="0.7941747632423141"/>
          <c:h val="0.5856476445598939"/>
        </c:manualLayout>
      </c:layout>
      <c:barChart>
        <c:barDir val="col"/>
        <c:grouping val="stacked"/>
        <c:ser>
          <c:idx val="0"/>
          <c:order val="0"/>
          <c:tx>
            <c:v>growth per year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QUES_2!$C$6:$C$12</c:f>
            </c:strRef>
          </c:cat>
          <c:val>
            <c:numRef>
              <c:f>QUES_2!$D$6:$D$12</c:f>
              <c:numCache/>
            </c:numRef>
          </c:val>
        </c:ser>
        <c:overlap val="100"/>
        <c:axId val="1523836719"/>
        <c:axId val="318689129"/>
      </c:barChart>
      <c:catAx>
        <c:axId val="152383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8689129"/>
      </c:catAx>
      <c:valAx>
        <c:axId val="3186891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3836719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SUB CATEGORY CONTRIBUTIONS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Rural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QUES_3!$K$22:$K$31</c:f>
            </c:strRef>
          </c:cat>
          <c:val>
            <c:numRef>
              <c:f>QUES_3!$M$22:$M$31</c:f>
              <c:numCache/>
            </c:numRef>
          </c:val>
        </c:ser>
        <c:ser>
          <c:idx val="1"/>
          <c:order val="1"/>
          <c:tx>
            <c:v>Urban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QUES_3!$K$22:$K$31</c:f>
            </c:strRef>
          </c:cat>
          <c:val>
            <c:numRef>
              <c:f>QUES_3!$N$22:$N$31</c:f>
              <c:numCache/>
            </c:numRef>
          </c:val>
        </c:ser>
        <c:ser>
          <c:idx val="2"/>
          <c:order val="2"/>
          <c:tx>
            <c:v>Rural+ urban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QUES_3!$K$22:$K$31</c:f>
            </c:strRef>
          </c:cat>
          <c:val>
            <c:numRef>
              <c:f>QUES_3!$O$22:$O$31</c:f>
              <c:numCache/>
            </c:numRef>
          </c:val>
        </c:ser>
        <c:axId val="304256640"/>
        <c:axId val="1832374247"/>
      </c:barChart>
      <c:catAx>
        <c:axId val="30425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2374247"/>
      </c:catAx>
      <c:valAx>
        <c:axId val="1832374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425664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CORRELATION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QUES_5!$E$31:$AE$31</c:f>
            </c:strRef>
          </c:cat>
          <c:val>
            <c:numRef>
              <c:f>QUES_5!$E$32:$AE$32</c:f>
              <c:numCache/>
            </c:numRef>
          </c:val>
        </c:ser>
        <c:axId val="1614047231"/>
        <c:axId val="1262774322"/>
      </c:barChart>
      <c:catAx>
        <c:axId val="161404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2774322"/>
      </c:catAx>
      <c:valAx>
        <c:axId val="1262774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4047231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CPI Contribution Broader Categories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FOOD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QUES_1!$G$7:$I$7</c:f>
            </c:strRef>
          </c:cat>
          <c:val>
            <c:numRef>
              <c:f>QUES_1!$G$8:$I$8</c:f>
              <c:numCache/>
            </c:numRef>
          </c:val>
        </c:ser>
        <c:ser>
          <c:idx val="1"/>
          <c:order val="1"/>
          <c:tx>
            <c:v>B&amp;I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QUES_1!$G$7:$I$7</c:f>
            </c:strRef>
          </c:cat>
          <c:val>
            <c:numRef>
              <c:f>QUES_1!$G$9:$I$9</c:f>
              <c:numCache/>
            </c:numRef>
          </c:val>
        </c:ser>
        <c:ser>
          <c:idx val="2"/>
          <c:order val="2"/>
          <c:tx>
            <c:v>C&amp;H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QUES_1!$G$7:$I$7</c:f>
            </c:strRef>
          </c:cat>
          <c:val>
            <c:numRef>
              <c:f>QUES_1!$G$10:$I$10</c:f>
              <c:numCache/>
            </c:numRef>
          </c:val>
        </c:ser>
        <c:ser>
          <c:idx val="3"/>
          <c:order val="3"/>
          <c:tx>
            <c:v>G&amp;S,T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QUES_1!$G$7:$I$7</c:f>
            </c:strRef>
          </c:cat>
          <c:val>
            <c:numRef>
              <c:f>QUES_1!$G$11:$I$11</c:f>
              <c:numCache/>
            </c:numRef>
          </c:val>
        </c:ser>
        <c:ser>
          <c:idx val="4"/>
          <c:order val="4"/>
          <c:tx>
            <c:v>S&amp;M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QUES_1!$G$7:$I$7</c:f>
            </c:strRef>
          </c:cat>
          <c:val>
            <c:numRef>
              <c:f>QUES_1!$G$12:$I$12</c:f>
              <c:numCache/>
            </c:numRef>
          </c:val>
        </c:ser>
        <c:overlap val="100"/>
        <c:axId val="841651376"/>
        <c:axId val="2047171503"/>
      </c:barChart>
      <c:catAx>
        <c:axId val="84165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7171503"/>
      </c:catAx>
      <c:valAx>
        <c:axId val="2047171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1651376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image" Target="../media/image2.png"/><Relationship Id="rId4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image" Target="../media/image5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152400</xdr:colOff>
      <xdr:row>3</xdr:row>
      <xdr:rowOff>0</xdr:rowOff>
    </xdr:from>
    <xdr:ext cx="7734300" cy="3524250"/>
    <xdr:graphicFrame>
      <xdr:nvGraphicFramePr>
        <xdr:cNvPr id="17392633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28</xdr:col>
      <xdr:colOff>57150</xdr:colOff>
      <xdr:row>13</xdr:row>
      <xdr:rowOff>123825</xdr:rowOff>
    </xdr:from>
    <xdr:ext cx="1038225" cy="933450"/>
    <xdr:sp>
      <xdr:nvSpPr>
        <xdr:cNvPr id="3" name="Shape 3"/>
        <xdr:cNvSpPr/>
      </xdr:nvSpPr>
      <xdr:spPr>
        <a:xfrm>
          <a:off x="4831650" y="3322800"/>
          <a:ext cx="1028700" cy="914400"/>
        </a:xfrm>
        <a:prstGeom prst="wedgeRoundRectCallout">
          <a:avLst>
            <a:gd fmla="val -20833" name="adj1"/>
            <a:gd fmla="val 62500" name="adj2"/>
            <a:gd fmla="val 0" name="adj3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ONLY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2% CONTRIBUTION OF b&amp;i in rural + urban</a:t>
          </a:r>
          <a:endParaRPr sz="1100"/>
        </a:p>
      </xdr:txBody>
    </xdr:sp>
    <xdr:clientData fLocksWithSheet="0"/>
  </xdr:oneCellAnchor>
  <xdr:oneCellAnchor>
    <xdr:from>
      <xdr:col>27</xdr:col>
      <xdr:colOff>104775</xdr:colOff>
      <xdr:row>17</xdr:row>
      <xdr:rowOff>47625</xdr:rowOff>
    </xdr:from>
    <xdr:ext cx="885825" cy="85725"/>
    <xdr:grpSp>
      <xdr:nvGrpSpPr>
        <xdr:cNvPr id="2" name="Shape 2"/>
        <xdr:cNvGrpSpPr/>
      </xdr:nvGrpSpPr>
      <xdr:grpSpPr>
        <a:xfrm>
          <a:off x="4907850" y="3741900"/>
          <a:ext cx="876300" cy="76200"/>
          <a:chOff x="4907850" y="3741900"/>
          <a:chExt cx="876300" cy="76200"/>
        </a:xfrm>
      </xdr:grpSpPr>
      <xdr:cxnSp>
        <xdr:nvCxnSpPr>
          <xdr:cNvPr id="4" name="Shape 4"/>
          <xdr:cNvCxnSpPr>
            <a:endCxn id="3" idx="4"/>
          </xdr:cNvCxnSpPr>
        </xdr:nvCxnSpPr>
        <xdr:spPr>
          <a:xfrm>
            <a:off x="4907850" y="3741900"/>
            <a:ext cx="876300" cy="762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1</xdr:row>
      <xdr:rowOff>85725</xdr:rowOff>
    </xdr:from>
    <xdr:ext cx="5448300" cy="2800350"/>
    <xdr:graphicFrame>
      <xdr:nvGraphicFramePr>
        <xdr:cNvPr id="148657702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514350</xdr:colOff>
      <xdr:row>16</xdr:row>
      <xdr:rowOff>142875</xdr:rowOff>
    </xdr:from>
    <xdr:ext cx="4343400" cy="2876550"/>
    <xdr:graphicFrame>
      <xdr:nvGraphicFramePr>
        <xdr:cNvPr id="183603895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76200</xdr:colOff>
      <xdr:row>8</xdr:row>
      <xdr:rowOff>190500</xdr:rowOff>
    </xdr:from>
    <xdr:ext cx="1333500" cy="552450"/>
    <xdr:sp>
      <xdr:nvSpPr>
        <xdr:cNvPr id="5" name="Shape 5"/>
        <xdr:cNvSpPr/>
      </xdr:nvSpPr>
      <xdr:spPr>
        <a:xfrm>
          <a:off x="4684013" y="3513300"/>
          <a:ext cx="1323975" cy="533400"/>
        </a:xfrm>
        <a:prstGeom prst="wedgeRoundRectCallout">
          <a:avLst>
            <a:gd fmla="val -20833" name="adj1"/>
            <a:gd fmla="val 62500" name="adj2"/>
            <a:gd fmla="val 0" name="adj3"/>
          </a:avLst>
        </a:prstGeom>
        <a:solidFill>
          <a:schemeClr val="lt1"/>
        </a:solidFill>
        <a:ln cap="flat" cmpd="sng" w="12700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ONLY JAN - MARCH DATA AVAILABLE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 2023.</a:t>
          </a:r>
          <a:endParaRPr sz="1100"/>
        </a:p>
      </xdr:txBody>
    </xdr:sp>
    <xdr:clientData fLocksWithSheet="0"/>
  </xdr:oneCellAnchor>
  <xdr:oneCellAnchor>
    <xdr:from>
      <xdr:col>13</xdr:col>
      <xdr:colOff>38100</xdr:colOff>
      <xdr:row>3</xdr:row>
      <xdr:rowOff>38100</xdr:rowOff>
    </xdr:from>
    <xdr:ext cx="1457325" cy="457200"/>
    <xdr:sp>
      <xdr:nvSpPr>
        <xdr:cNvPr id="6" name="Shape 6"/>
        <xdr:cNvSpPr/>
      </xdr:nvSpPr>
      <xdr:spPr>
        <a:xfrm flipH="1">
          <a:off x="4622100" y="3560925"/>
          <a:ext cx="1447800" cy="438150"/>
        </a:xfrm>
        <a:prstGeom prst="wedgeRectCallout">
          <a:avLst>
            <a:gd fmla="val -20833" name="adj1"/>
            <a:gd fmla="val 62500" name="adj2"/>
          </a:avLst>
        </a:prstGeom>
        <a:solidFill>
          <a:schemeClr val="lt1"/>
        </a:solidFill>
        <a:ln cap="flat" cmpd="sng" w="12700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 WITH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HIGHEST INFLATION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17</xdr:row>
      <xdr:rowOff>171450</xdr:rowOff>
    </xdr:from>
    <xdr:ext cx="4133850" cy="2571750"/>
    <xdr:graphicFrame>
      <xdr:nvGraphicFramePr>
        <xdr:cNvPr id="7466709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19</xdr:row>
      <xdr:rowOff>28575</xdr:rowOff>
    </xdr:from>
    <xdr:ext cx="4276725" cy="2428875"/>
    <xdr:graphicFrame>
      <xdr:nvGraphicFramePr>
        <xdr:cNvPr id="172903452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57150</xdr:colOff>
      <xdr:row>24</xdr:row>
      <xdr:rowOff>190500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7" name="Shape 7"/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466725</xdr:colOff>
      <xdr:row>2</xdr:row>
      <xdr:rowOff>9525</xdr:rowOff>
    </xdr:from>
    <xdr:ext cx="5591175" cy="12954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20</xdr:row>
      <xdr:rowOff>114300</xdr:rowOff>
    </xdr:from>
    <xdr:ext cx="2819400" cy="13811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0</xdr:row>
      <xdr:rowOff>114300</xdr:rowOff>
    </xdr:from>
    <xdr:ext cx="4371975" cy="2619375"/>
    <xdr:graphicFrame>
      <xdr:nvGraphicFramePr>
        <xdr:cNvPr id="65698932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276225</xdr:colOff>
      <xdr:row>18</xdr:row>
      <xdr:rowOff>171450</xdr:rowOff>
    </xdr:from>
    <xdr:ext cx="4371975" cy="2486025"/>
    <xdr:graphicFrame>
      <xdr:nvGraphicFramePr>
        <xdr:cNvPr id="168098281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171450</xdr:colOff>
      <xdr:row>15</xdr:row>
      <xdr:rowOff>0</xdr:rowOff>
    </xdr:from>
    <xdr:ext cx="5562600" cy="361950"/>
    <xdr:sp>
      <xdr:nvSpPr>
        <xdr:cNvPr id="8" name="Shape 8"/>
        <xdr:cNvSpPr/>
      </xdr:nvSpPr>
      <xdr:spPr>
        <a:xfrm>
          <a:off x="2564700" y="3599025"/>
          <a:ext cx="5562600" cy="361950"/>
        </a:xfrm>
        <a:prstGeom prst="flowChartAlternateProcess">
          <a:avLst/>
        </a:prstGeom>
        <a:solidFill>
          <a:schemeClr val="accent5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Play"/>
              <a:ea typeface="Play"/>
              <a:cs typeface="Play"/>
              <a:sym typeface="Play"/>
            </a:rPr>
            <a:t>MARCH</a:t>
          </a:r>
          <a:r>
            <a:rPr b="1" lang="en-US" sz="1600">
              <a:solidFill>
                <a:srgbClr val="000000"/>
              </a:solidFill>
              <a:latin typeface="Play"/>
              <a:ea typeface="Play"/>
              <a:cs typeface="Play"/>
              <a:sym typeface="Play"/>
            </a:rPr>
            <a:t> 2020</a:t>
          </a:r>
          <a:endParaRPr b="1" sz="1600">
            <a:solidFill>
              <a:srgbClr val="00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447675</xdr:colOff>
      <xdr:row>13</xdr:row>
      <xdr:rowOff>0</xdr:rowOff>
    </xdr:from>
    <xdr:ext cx="390525" cy="323850"/>
    <xdr:sp>
      <xdr:nvSpPr>
        <xdr:cNvPr id="9" name="Shape 9"/>
        <xdr:cNvSpPr/>
      </xdr:nvSpPr>
      <xdr:spPr>
        <a:xfrm>
          <a:off x="5160263" y="3622838"/>
          <a:ext cx="371475" cy="3143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476250</xdr:colOff>
      <xdr:row>17</xdr:row>
      <xdr:rowOff>9525</xdr:rowOff>
    </xdr:from>
    <xdr:ext cx="390525" cy="323850"/>
    <xdr:sp>
      <xdr:nvSpPr>
        <xdr:cNvPr id="10" name="Shape 10"/>
        <xdr:cNvSpPr/>
      </xdr:nvSpPr>
      <xdr:spPr>
        <a:xfrm rot="10800000">
          <a:off x="5160263" y="3622838"/>
          <a:ext cx="371475" cy="3143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47625</xdr:colOff>
      <xdr:row>19</xdr:row>
      <xdr:rowOff>0</xdr:rowOff>
    </xdr:from>
    <xdr:ext cx="3448050" cy="733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171450</xdr:rowOff>
    </xdr:from>
    <xdr:ext cx="5819775" cy="10001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18</xdr:row>
      <xdr:rowOff>47625</xdr:rowOff>
    </xdr:from>
    <xdr:ext cx="4371975" cy="2609850"/>
    <xdr:graphicFrame>
      <xdr:nvGraphicFramePr>
        <xdr:cNvPr id="197803513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9525</xdr:colOff>
      <xdr:row>10</xdr:row>
      <xdr:rowOff>142875</xdr:rowOff>
    </xdr:from>
    <xdr:ext cx="971550" cy="28575"/>
    <xdr:grpSp>
      <xdr:nvGrpSpPr>
        <xdr:cNvPr id="2" name="Shape 2"/>
        <xdr:cNvGrpSpPr/>
      </xdr:nvGrpSpPr>
      <xdr:grpSpPr>
        <a:xfrm>
          <a:off x="4860225" y="3775238"/>
          <a:ext cx="971550" cy="9525"/>
          <a:chOff x="4860225" y="3775238"/>
          <a:chExt cx="971550" cy="9525"/>
        </a:xfrm>
      </xdr:grpSpPr>
      <xdr:cxnSp>
        <xdr:nvCxnSpPr>
          <xdr:cNvPr id="11" name="Shape 11"/>
          <xdr:cNvCxnSpPr/>
        </xdr:nvCxnSpPr>
        <xdr:spPr>
          <a:xfrm>
            <a:off x="4860225" y="3775238"/>
            <a:ext cx="971550" cy="9525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9</xdr:row>
      <xdr:rowOff>19050</xdr:rowOff>
    </xdr:from>
    <xdr:ext cx="3333750" cy="2152650"/>
    <xdr:graphicFrame>
      <xdr:nvGraphicFramePr>
        <xdr:cNvPr id="37817935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8</xdr:row>
      <xdr:rowOff>180975</xdr:rowOff>
    </xdr:from>
    <xdr:ext cx="3714750" cy="2171700"/>
    <xdr:graphicFrame>
      <xdr:nvGraphicFramePr>
        <xdr:cNvPr id="188550944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533400</xdr:colOff>
      <xdr:row>8</xdr:row>
      <xdr:rowOff>161925</xdr:rowOff>
    </xdr:from>
    <xdr:ext cx="4067175" cy="2181225"/>
    <xdr:graphicFrame>
      <xdr:nvGraphicFramePr>
        <xdr:cNvPr id="161531101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266700</xdr:colOff>
      <xdr:row>8</xdr:row>
      <xdr:rowOff>114300</xdr:rowOff>
    </xdr:from>
    <xdr:ext cx="3895725" cy="2228850"/>
    <xdr:graphicFrame>
      <xdr:nvGraphicFramePr>
        <xdr:cNvPr id="83275172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142875</xdr:colOff>
      <xdr:row>20</xdr:row>
      <xdr:rowOff>66675</xdr:rowOff>
    </xdr:from>
    <xdr:ext cx="3295650" cy="790575"/>
    <xdr:sp>
      <xdr:nvSpPr>
        <xdr:cNvPr id="12" name="Shape 12"/>
        <xdr:cNvSpPr/>
      </xdr:nvSpPr>
      <xdr:spPr>
        <a:xfrm rot="10800000">
          <a:off x="3702938" y="3389475"/>
          <a:ext cx="3286125" cy="781050"/>
        </a:xfrm>
        <a:prstGeom prst="wedgeRectCallout">
          <a:avLst>
            <a:gd fmla="val -20833" name="adj1"/>
            <a:gd fmla="val 62500" name="adj2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47625</xdr:colOff>
      <xdr:row>20</xdr:row>
      <xdr:rowOff>19050</xdr:rowOff>
    </xdr:from>
    <xdr:ext cx="3581400" cy="847725"/>
    <xdr:sp>
      <xdr:nvSpPr>
        <xdr:cNvPr id="13" name="Shape 13"/>
        <xdr:cNvSpPr/>
      </xdr:nvSpPr>
      <xdr:spPr>
        <a:xfrm rot="10800000">
          <a:off x="3555300" y="3356138"/>
          <a:ext cx="3581400" cy="847725"/>
        </a:xfrm>
        <a:prstGeom prst="wedgeRectCallout">
          <a:avLst>
            <a:gd fmla="val -20833" name="adj1"/>
            <a:gd fmla="val 62500" name="adj2"/>
          </a:avLst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114300</xdr:colOff>
      <xdr:row>20</xdr:row>
      <xdr:rowOff>19050</xdr:rowOff>
    </xdr:from>
    <xdr:ext cx="3429000" cy="838200"/>
    <xdr:sp>
      <xdr:nvSpPr>
        <xdr:cNvPr id="14" name="Shape 14"/>
        <xdr:cNvSpPr/>
      </xdr:nvSpPr>
      <xdr:spPr>
        <a:xfrm rot="10800000">
          <a:off x="3641025" y="3365663"/>
          <a:ext cx="3409950" cy="828675"/>
        </a:xfrm>
        <a:prstGeom prst="wedgeRectCallout">
          <a:avLst>
            <a:gd fmla="val -20833" name="adj1"/>
            <a:gd fmla="val 62500" name="adj2"/>
          </a:avLst>
        </a:prstGeom>
        <a:solidFill>
          <a:schemeClr val="lt1"/>
        </a:soli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180975</xdr:colOff>
      <xdr:row>20</xdr:row>
      <xdr:rowOff>95250</xdr:rowOff>
    </xdr:from>
    <xdr:ext cx="3333750" cy="733425"/>
    <xdr:sp>
      <xdr:nvSpPr>
        <xdr:cNvPr id="15" name="Shape 15"/>
        <xdr:cNvSpPr txBox="1"/>
      </xdr:nvSpPr>
      <xdr:spPr>
        <a:xfrm>
          <a:off x="3683888" y="3418050"/>
          <a:ext cx="3324225" cy="7239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&gt; Biggest Individual Category Contributor for the broader Category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Food is Spices in all three sectors.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&gt; Oils and fats saw the steepest deflation, especially in Rural areas with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-17% decline</a:t>
          </a: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</a:t>
          </a:r>
          <a:endParaRPr sz="1100"/>
        </a:p>
      </xdr:txBody>
    </xdr:sp>
    <xdr:clientData fLocksWithSheet="0"/>
  </xdr:oneCellAnchor>
  <xdr:oneCellAnchor>
    <xdr:from>
      <xdr:col>15</xdr:col>
      <xdr:colOff>123825</xdr:colOff>
      <xdr:row>20</xdr:row>
      <xdr:rowOff>0</xdr:rowOff>
    </xdr:from>
    <xdr:ext cx="3733800" cy="790575"/>
    <xdr:sp>
      <xdr:nvSpPr>
        <xdr:cNvPr id="16" name="Shape 16"/>
        <xdr:cNvSpPr/>
      </xdr:nvSpPr>
      <xdr:spPr>
        <a:xfrm rot="10800000">
          <a:off x="3483863" y="3389475"/>
          <a:ext cx="3724275" cy="781050"/>
        </a:xfrm>
        <a:prstGeom prst="wedgeRectCallout">
          <a:avLst>
            <a:gd fmla="val -20833" name="adj1"/>
            <a:gd fmla="val 62500" name="adj2"/>
          </a:avLst>
        </a:prstGeom>
        <a:solidFill>
          <a:schemeClr val="lt1"/>
        </a:soli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352425</xdr:colOff>
      <xdr:row>20</xdr:row>
      <xdr:rowOff>0</xdr:rowOff>
    </xdr:from>
    <xdr:ext cx="3657600" cy="790575"/>
    <xdr:sp>
      <xdr:nvSpPr>
        <xdr:cNvPr id="17" name="Shape 17"/>
        <xdr:cNvSpPr/>
      </xdr:nvSpPr>
      <xdr:spPr>
        <a:xfrm rot="10800000">
          <a:off x="3521963" y="3389475"/>
          <a:ext cx="3648075" cy="781050"/>
        </a:xfrm>
        <a:prstGeom prst="wedgeRectCallout">
          <a:avLst>
            <a:gd fmla="val -20833" name="adj1"/>
            <a:gd fmla="val 62500" name="adj2"/>
          </a:avLst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314325</xdr:colOff>
      <xdr:row>20</xdr:row>
      <xdr:rowOff>28575</xdr:rowOff>
    </xdr:from>
    <xdr:ext cx="3295650" cy="704850"/>
    <xdr:sp>
      <xdr:nvSpPr>
        <xdr:cNvPr id="18" name="Shape 18"/>
        <xdr:cNvSpPr txBox="1"/>
      </xdr:nvSpPr>
      <xdr:spPr>
        <a:xfrm>
          <a:off x="3702938" y="3432338"/>
          <a:ext cx="3286125" cy="695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&gt; Meat and Fish is most positive correlated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&gt; Egg is the only negative correlated Category</a:t>
          </a:r>
          <a:endParaRPr sz="1400"/>
        </a:p>
      </xdr:txBody>
    </xdr:sp>
    <xdr:clientData fLocksWithSheet="0"/>
  </xdr:oneCellAnchor>
  <xdr:oneCellAnchor>
    <xdr:from>
      <xdr:col>22</xdr:col>
      <xdr:colOff>409575</xdr:colOff>
      <xdr:row>20</xdr:row>
      <xdr:rowOff>19050</xdr:rowOff>
    </xdr:from>
    <xdr:ext cx="3514725" cy="733425"/>
    <xdr:sp>
      <xdr:nvSpPr>
        <xdr:cNvPr id="19" name="Shape 19"/>
        <xdr:cNvSpPr txBox="1"/>
      </xdr:nvSpPr>
      <xdr:spPr>
        <a:xfrm>
          <a:off x="3588638" y="3418050"/>
          <a:ext cx="3514725" cy="7239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142875</xdr:colOff>
      <xdr:row>23</xdr:row>
      <xdr:rowOff>114300</xdr:rowOff>
    </xdr:from>
    <xdr:ext cx="1304925" cy="323850"/>
    <xdr:sp>
      <xdr:nvSpPr>
        <xdr:cNvPr id="20" name="Shape 20"/>
        <xdr:cNvSpPr/>
      </xdr:nvSpPr>
      <xdr:spPr>
        <a:xfrm>
          <a:off x="4693538" y="3618075"/>
          <a:ext cx="1304925" cy="323850"/>
        </a:xfrm>
        <a:prstGeom prst="flowChartProcess">
          <a:avLst/>
        </a:prstGeom>
        <a:solidFill>
          <a:schemeClr val="accent5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133350</xdr:colOff>
      <xdr:row>23</xdr:row>
      <xdr:rowOff>114300</xdr:rowOff>
    </xdr:from>
    <xdr:ext cx="1304925" cy="314325"/>
    <xdr:sp>
      <xdr:nvSpPr>
        <xdr:cNvPr id="21" name="Shape 21"/>
        <xdr:cNvSpPr txBox="1"/>
      </xdr:nvSpPr>
      <xdr:spPr>
        <a:xfrm>
          <a:off x="4693538" y="3627600"/>
          <a:ext cx="1304925" cy="3048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INSIGHTS</a:t>
          </a:r>
          <a:endParaRPr sz="1400"/>
        </a:p>
      </xdr:txBody>
    </xdr:sp>
    <xdr:clientData fLocksWithSheet="0"/>
  </xdr:oneCellAnchor>
  <xdr:oneCellAnchor>
    <xdr:from>
      <xdr:col>8</xdr:col>
      <xdr:colOff>114300</xdr:colOff>
      <xdr:row>23</xdr:row>
      <xdr:rowOff>114300</xdr:rowOff>
    </xdr:from>
    <xdr:ext cx="1276350" cy="323850"/>
    <xdr:sp>
      <xdr:nvSpPr>
        <xdr:cNvPr id="22" name="Shape 22"/>
        <xdr:cNvSpPr/>
      </xdr:nvSpPr>
      <xdr:spPr>
        <a:xfrm>
          <a:off x="4707825" y="3618075"/>
          <a:ext cx="1276350" cy="323850"/>
        </a:xfrm>
        <a:prstGeom prst="flowChartProcess">
          <a:avLst/>
        </a:prstGeom>
        <a:solidFill>
          <a:schemeClr val="accent5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123825</xdr:colOff>
      <xdr:row>23</xdr:row>
      <xdr:rowOff>38100</xdr:rowOff>
    </xdr:from>
    <xdr:ext cx="1276350" cy="323850"/>
    <xdr:sp>
      <xdr:nvSpPr>
        <xdr:cNvPr id="22" name="Shape 22"/>
        <xdr:cNvSpPr/>
      </xdr:nvSpPr>
      <xdr:spPr>
        <a:xfrm>
          <a:off x="4707825" y="3618075"/>
          <a:ext cx="1276350" cy="323850"/>
        </a:xfrm>
        <a:prstGeom prst="flowChartProcess">
          <a:avLst/>
        </a:prstGeom>
        <a:solidFill>
          <a:schemeClr val="accent5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352425</xdr:colOff>
      <xdr:row>23</xdr:row>
      <xdr:rowOff>47625</xdr:rowOff>
    </xdr:from>
    <xdr:ext cx="1276350" cy="323850"/>
    <xdr:sp>
      <xdr:nvSpPr>
        <xdr:cNvPr id="22" name="Shape 22"/>
        <xdr:cNvSpPr/>
      </xdr:nvSpPr>
      <xdr:spPr>
        <a:xfrm>
          <a:off x="4707825" y="3618075"/>
          <a:ext cx="1276350" cy="323850"/>
        </a:xfrm>
        <a:prstGeom prst="flowChartProcess">
          <a:avLst/>
        </a:prstGeom>
        <a:solidFill>
          <a:schemeClr val="accent5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114300</xdr:colOff>
      <xdr:row>23</xdr:row>
      <xdr:rowOff>114300</xdr:rowOff>
    </xdr:from>
    <xdr:ext cx="1276350" cy="314325"/>
    <xdr:sp>
      <xdr:nvSpPr>
        <xdr:cNvPr id="23" name="Shape 23"/>
        <xdr:cNvSpPr txBox="1"/>
      </xdr:nvSpPr>
      <xdr:spPr>
        <a:xfrm>
          <a:off x="4707825" y="3627600"/>
          <a:ext cx="1276350" cy="3048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INSIGHTS</a:t>
          </a:r>
          <a:endParaRPr sz="1400"/>
        </a:p>
      </xdr:txBody>
    </xdr:sp>
    <xdr:clientData fLocksWithSheet="0"/>
  </xdr:oneCellAnchor>
  <xdr:oneCellAnchor>
    <xdr:from>
      <xdr:col>15</xdr:col>
      <xdr:colOff>114300</xdr:colOff>
      <xdr:row>23</xdr:row>
      <xdr:rowOff>47625</xdr:rowOff>
    </xdr:from>
    <xdr:ext cx="1276350" cy="314325"/>
    <xdr:sp>
      <xdr:nvSpPr>
        <xdr:cNvPr id="24" name="Shape 24"/>
        <xdr:cNvSpPr txBox="1"/>
      </xdr:nvSpPr>
      <xdr:spPr>
        <a:xfrm>
          <a:off x="4707825" y="3627600"/>
          <a:ext cx="1276350" cy="3048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INSIGHTS</a:t>
          </a:r>
          <a:endParaRPr sz="1400"/>
        </a:p>
      </xdr:txBody>
    </xdr:sp>
    <xdr:clientData fLocksWithSheet="0"/>
  </xdr:oneCellAnchor>
  <xdr:oneCellAnchor>
    <xdr:from>
      <xdr:col>22</xdr:col>
      <xdr:colOff>342900</xdr:colOff>
      <xdr:row>23</xdr:row>
      <xdr:rowOff>38100</xdr:rowOff>
    </xdr:from>
    <xdr:ext cx="1276350" cy="314325"/>
    <xdr:sp>
      <xdr:nvSpPr>
        <xdr:cNvPr id="25" name="Shape 25"/>
        <xdr:cNvSpPr txBox="1"/>
      </xdr:nvSpPr>
      <xdr:spPr>
        <a:xfrm>
          <a:off x="4707825" y="3627600"/>
          <a:ext cx="1276350" cy="3048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INSIGHTS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4</xdr:row>
      <xdr:rowOff>76200</xdr:rowOff>
    </xdr:from>
    <xdr:ext cx="7381875" cy="581025"/>
    <xdr:sp>
      <xdr:nvSpPr>
        <xdr:cNvPr id="26" name="Shape 26"/>
        <xdr:cNvSpPr txBox="1"/>
      </xdr:nvSpPr>
      <xdr:spPr>
        <a:xfrm>
          <a:off x="1655063" y="3489488"/>
          <a:ext cx="7381875" cy="5810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SUMMARY:</a:t>
          </a:r>
          <a:r>
            <a:rPr b="1" i="0" lang="en-US" sz="11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Analyzed the inflation of broader categories such as food, beverages and intoxicants,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clothing &amp; housing, etc., from                2013 to May 2023 to identify inflation trends and the contribution of these categories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1</xdr:col>
      <xdr:colOff>133350</xdr:colOff>
      <xdr:row>28</xdr:row>
      <xdr:rowOff>85725</xdr:rowOff>
    </xdr:from>
    <xdr:ext cx="6048375" cy="704850"/>
    <xdr:sp>
      <xdr:nvSpPr>
        <xdr:cNvPr id="27" name="Shape 27"/>
        <xdr:cNvSpPr txBox="1"/>
      </xdr:nvSpPr>
      <xdr:spPr>
        <a:xfrm>
          <a:off x="2321813" y="3427575"/>
          <a:ext cx="6048375" cy="7048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 SOURCE: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CPI INFLATION SHEET IS USED FOR THE INFLATION VALUES OF DIFFERENT CATEGORY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FOR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CRUDE OIL PRICES BETWEEN 2021 JAN TO 2022 DEC </a:t>
          </a:r>
          <a:r>
            <a:rPr i="1" lang="en-US" sz="1100" u="sng">
              <a:solidFill>
                <a:srgbClr val="2F5496"/>
              </a:solidFill>
              <a:latin typeface="Calibri"/>
              <a:ea typeface="Calibri"/>
              <a:cs typeface="Calibri"/>
              <a:sym typeface="Calibri"/>
            </a:rPr>
            <a:t>ppac.gov.in  </a:t>
          </a:r>
          <a:r>
            <a:rPr i="1" lang="en-US" sz="1100" u="none">
              <a:solidFill>
                <a:srgbClr val="3F3F3F"/>
              </a:solidFill>
              <a:latin typeface="Calibri"/>
              <a:ea typeface="Calibri"/>
              <a:cs typeface="Calibri"/>
              <a:sym typeface="Calibri"/>
            </a:rPr>
            <a:t>SITE IS USED .</a:t>
          </a:r>
          <a:endParaRPr i="1" sz="1100" u="none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11</xdr:col>
      <xdr:colOff>485775</xdr:colOff>
      <xdr:row>28</xdr:row>
      <xdr:rowOff>95250</xdr:rowOff>
    </xdr:from>
    <xdr:ext cx="5600700" cy="704850"/>
    <xdr:sp>
      <xdr:nvSpPr>
        <xdr:cNvPr id="28" name="Shape 28"/>
        <xdr:cNvSpPr txBox="1"/>
      </xdr:nvSpPr>
      <xdr:spPr>
        <a:xfrm>
          <a:off x="2550413" y="3427575"/>
          <a:ext cx="5591175" cy="7048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some categories, data was missing for certain months, so it was ignored, as the dataset is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large enough that these gaps do not significantly affect the overall values.</a:t>
          </a:r>
          <a:endParaRPr i="1" sz="1100"/>
        </a:p>
      </xdr:txBody>
    </xdr:sp>
    <xdr:clientData fLocksWithSheet="0"/>
  </xdr:oneCellAnchor>
  <xdr:oneCellAnchor>
    <xdr:from>
      <xdr:col>21</xdr:col>
      <xdr:colOff>466725</xdr:colOff>
      <xdr:row>28</xdr:row>
      <xdr:rowOff>85725</xdr:rowOff>
    </xdr:from>
    <xdr:ext cx="4400550" cy="704850"/>
    <xdr:sp>
      <xdr:nvSpPr>
        <xdr:cNvPr id="29" name="Shape 29"/>
        <xdr:cNvSpPr txBox="1"/>
      </xdr:nvSpPr>
      <xdr:spPr>
        <a:xfrm>
          <a:off x="3150488" y="3427575"/>
          <a:ext cx="4391025" cy="7048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HOUSING CATEGORY THE DATA IS NOT PROVIDED IN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RURAL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SECTOR</a:t>
          </a:r>
          <a:endParaRPr sz="1400"/>
        </a:p>
      </xdr:txBody>
    </xdr:sp>
    <xdr:clientData fLocksWithSheet="0"/>
  </xdr:oneCellAnchor>
  <xdr:oneCellAnchor>
    <xdr:from>
      <xdr:col>1</xdr:col>
      <xdr:colOff>352425</xdr:colOff>
      <xdr:row>7</xdr:row>
      <xdr:rowOff>66675</xdr:rowOff>
    </xdr:from>
    <xdr:ext cx="866775" cy="342900"/>
    <xdr:sp>
      <xdr:nvSpPr>
        <xdr:cNvPr id="30" name="Shape 30"/>
        <xdr:cNvSpPr/>
      </xdr:nvSpPr>
      <xdr:spPr>
        <a:xfrm>
          <a:off x="4917375" y="3608550"/>
          <a:ext cx="857250" cy="342900"/>
        </a:xfrm>
        <a:prstGeom prst="wedgeRoundRectCallout">
          <a:avLst>
            <a:gd fmla="val -20833" name="adj1"/>
            <a:gd fmla="val 62500" name="adj2"/>
            <a:gd fmla="val 0" name="adj3"/>
          </a:avLst>
        </a:prstGeom>
        <a:solidFill>
          <a:schemeClr val="accent5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2017-2023</a:t>
          </a:r>
          <a:endParaRPr sz="1400"/>
        </a:p>
      </xdr:txBody>
    </xdr:sp>
    <xdr:clientData fLocksWithSheet="0"/>
  </xdr:oneCellAnchor>
  <xdr:oneCellAnchor>
    <xdr:from>
      <xdr:col>8</xdr:col>
      <xdr:colOff>495300</xdr:colOff>
      <xdr:row>7</xdr:row>
      <xdr:rowOff>38100</xdr:rowOff>
    </xdr:from>
    <xdr:ext cx="1714500" cy="342900"/>
    <xdr:sp>
      <xdr:nvSpPr>
        <xdr:cNvPr id="31" name="Shape 31"/>
        <xdr:cNvSpPr/>
      </xdr:nvSpPr>
      <xdr:spPr>
        <a:xfrm>
          <a:off x="4493513" y="3608550"/>
          <a:ext cx="1704975" cy="342900"/>
        </a:xfrm>
        <a:prstGeom prst="wedgeRoundRectCallout">
          <a:avLst>
            <a:gd fmla="val -20833" name="adj1"/>
            <a:gd fmla="val 62500" name="adj2"/>
            <a:gd fmla="val 0" name="adj3"/>
          </a:avLst>
        </a:prstGeom>
        <a:solidFill>
          <a:schemeClr val="accent2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22020 JUNE TO 2023 MAY</a:t>
          </a:r>
          <a:endParaRPr sz="1400"/>
        </a:p>
      </xdr:txBody>
    </xdr:sp>
    <xdr:clientData fLocksWithSheet="0"/>
  </xdr:oneCellAnchor>
  <xdr:oneCellAnchor>
    <xdr:from>
      <xdr:col>15</xdr:col>
      <xdr:colOff>419100</xdr:colOff>
      <xdr:row>6</xdr:row>
      <xdr:rowOff>247650</xdr:rowOff>
    </xdr:from>
    <xdr:ext cx="1343025" cy="371475"/>
    <xdr:sp>
      <xdr:nvSpPr>
        <xdr:cNvPr id="32" name="Shape 32"/>
        <xdr:cNvSpPr/>
      </xdr:nvSpPr>
      <xdr:spPr>
        <a:xfrm>
          <a:off x="4679250" y="3599025"/>
          <a:ext cx="1333500" cy="361950"/>
        </a:xfrm>
        <a:prstGeom prst="wedgeRoundRectCallout">
          <a:avLst>
            <a:gd fmla="val -20833" name="adj1"/>
            <a:gd fmla="val 62500" name="adj2"/>
            <a:gd fmla="val 0" name="adj3"/>
          </a:avLst>
        </a:prstGeom>
        <a:solidFill>
          <a:schemeClr val="accent6">
            <a:alpha val="49803"/>
          </a:scheme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2021 JAN - 2022 DEC</a:t>
          </a:r>
          <a:endParaRPr sz="1400"/>
        </a:p>
      </xdr:txBody>
    </xdr:sp>
    <xdr:clientData fLocksWithSheet="0"/>
  </xdr:oneCellAnchor>
  <xdr:oneCellAnchor>
    <xdr:from>
      <xdr:col>23</xdr:col>
      <xdr:colOff>485775</xdr:colOff>
      <xdr:row>6</xdr:row>
      <xdr:rowOff>133350</xdr:rowOff>
    </xdr:from>
    <xdr:ext cx="1123950" cy="419100"/>
    <xdr:sp>
      <xdr:nvSpPr>
        <xdr:cNvPr id="33" name="Shape 33"/>
        <xdr:cNvSpPr/>
      </xdr:nvSpPr>
      <xdr:spPr>
        <a:xfrm>
          <a:off x="4793550" y="3579975"/>
          <a:ext cx="1104900" cy="400050"/>
        </a:xfrm>
        <a:prstGeom prst="wedgeRoundRectCallout">
          <a:avLst>
            <a:gd fmla="val -20833" name="adj1"/>
            <a:gd fmla="val 62500" name="adj2"/>
            <a:gd fmla="val 0" name="adj3"/>
          </a:avLst>
        </a:prstGeom>
        <a:solidFill>
          <a:srgbClr val="4F648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2013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JANUARY</a:t>
          </a:r>
          <a:endParaRPr sz="1100"/>
        </a:p>
      </xdr:txBody>
    </xdr:sp>
    <xdr:clientData fLocksWithSheet="0"/>
  </xdr:oneCellAnchor>
  <xdr:oneCellAnchor>
    <xdr:from>
      <xdr:col>23</xdr:col>
      <xdr:colOff>552450</xdr:colOff>
      <xdr:row>16</xdr:row>
      <xdr:rowOff>161925</xdr:rowOff>
    </xdr:from>
    <xdr:ext cx="219075" cy="238125"/>
    <xdr:sp>
      <xdr:nvSpPr>
        <xdr:cNvPr id="34" name="Shape 34"/>
        <xdr:cNvSpPr/>
      </xdr:nvSpPr>
      <xdr:spPr>
        <a:xfrm>
          <a:off x="5241225" y="3665700"/>
          <a:ext cx="209550" cy="228600"/>
        </a:xfrm>
        <a:prstGeom prst="star7">
          <a:avLst>
            <a:gd fmla="val 34601" name="adj"/>
            <a:gd fmla="val 102572" name="hf"/>
            <a:gd fmla="val 105210" name="vf"/>
          </a:avLst>
        </a:prstGeom>
        <a:noFill/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514350</xdr:colOff>
      <xdr:row>16</xdr:row>
      <xdr:rowOff>142875</xdr:rowOff>
    </xdr:from>
    <xdr:ext cx="238125" cy="209550"/>
    <xdr:sp>
      <xdr:nvSpPr>
        <xdr:cNvPr id="35" name="Shape 35"/>
        <xdr:cNvSpPr/>
      </xdr:nvSpPr>
      <xdr:spPr>
        <a:xfrm>
          <a:off x="5231700" y="3675225"/>
          <a:ext cx="228600" cy="209550"/>
        </a:xfrm>
        <a:prstGeom prst="star7">
          <a:avLst>
            <a:gd fmla="val 34601" name="adj"/>
            <a:gd fmla="val 102572" name="hf"/>
            <a:gd fmla="val 105210" name="vf"/>
          </a:avLst>
        </a:prstGeom>
        <a:noFill/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390525</xdr:colOff>
      <xdr:row>14</xdr:row>
      <xdr:rowOff>0</xdr:rowOff>
    </xdr:from>
    <xdr:ext cx="333375" cy="304800"/>
    <xdr:sp>
      <xdr:nvSpPr>
        <xdr:cNvPr id="36" name="Shape 36"/>
        <xdr:cNvSpPr/>
      </xdr:nvSpPr>
      <xdr:spPr>
        <a:xfrm>
          <a:off x="5184075" y="3627600"/>
          <a:ext cx="323850" cy="304800"/>
        </a:xfrm>
        <a:prstGeom prst="star7">
          <a:avLst>
            <a:gd fmla="val 34601" name="adj"/>
            <a:gd fmla="val 102572" name="hf"/>
            <a:gd fmla="val 105210" name="vf"/>
          </a:avLst>
        </a:prstGeom>
        <a:noFill/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219075</xdr:colOff>
      <xdr:row>20</xdr:row>
      <xdr:rowOff>180975</xdr:rowOff>
    </xdr:from>
    <xdr:ext cx="3152775" cy="666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533400</xdr:colOff>
      <xdr:row>20</xdr:row>
      <xdr:rowOff>123825</xdr:rowOff>
    </xdr:from>
    <xdr:ext cx="3219450" cy="56197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AD373" displayName="Table_1" name="Table_1" id="1">
  <tableColumns count="30">
    <tableColumn name="Sector" id="1"/>
    <tableColumn name="Year" id="2"/>
    <tableColumn name="Month" id="3"/>
    <tableColumn name="Cereals and products" id="4"/>
    <tableColumn name="Meat and fish" id="5"/>
    <tableColumn name="Egg" id="6"/>
    <tableColumn name="Milk and products" id="7"/>
    <tableColumn name="Oils and fats" id="8"/>
    <tableColumn name="Fruits" id="9"/>
    <tableColumn name="Vegetables" id="10"/>
    <tableColumn name="Pulses and products" id="11"/>
    <tableColumn name="Sugar and Confectionery" id="12"/>
    <tableColumn name="Spices" id="13"/>
    <tableColumn name="Non-alcoholic beverages" id="14"/>
    <tableColumn name="Prepared meals, snacks, sweets etc." id="15"/>
    <tableColumn name="Food and beverages" id="16"/>
    <tableColumn name="Pan, tobacco and intoxicants" id="17"/>
    <tableColumn name="Clothing" id="18"/>
    <tableColumn name="Footwear" id="19"/>
    <tableColumn name="Clothing and footwear" id="20"/>
    <tableColumn name="Housing" id="21"/>
    <tableColumn name="Fuel and light" id="22"/>
    <tableColumn name="Household goods and services" id="23"/>
    <tableColumn name="Health" id="24"/>
    <tableColumn name="Transport and communication" id="25"/>
    <tableColumn name="Recreation and amusement" id="26"/>
    <tableColumn name="Education" id="27"/>
    <tableColumn name="Personal care and effects" id="28"/>
    <tableColumn name="Miscellaneous" id="29"/>
    <tableColumn name="General index" id="30"/>
  </tableColumns>
  <tableStyleInfo name="Main_Data-style" showColumnStripes="0" showFirstColumn="1" showLastColumn="1" showRowStripes="1"/>
</table>
</file>

<file path=xl/tables/table2.xml><?xml version="1.0" encoding="utf-8"?>
<table xmlns="http://schemas.openxmlformats.org/spreadsheetml/2006/main" ref="C5:D12" displayName="Table_2" name="Table_2" id="2">
  <tableColumns count="2">
    <tableColumn name="Y-O-Y" id="1"/>
    <tableColumn name="growth per year" id="2"/>
  </tableColumns>
  <tableStyleInfo name="QUES_2-style" showColumnStripes="0" showFirstColumn="1" showLastColumn="1" showRowStripes="1"/>
</table>
</file>

<file path=xl/tables/table3.xml><?xml version="1.0" encoding="utf-8"?>
<table xmlns="http://schemas.openxmlformats.org/spreadsheetml/2006/main" ref="D13:G16" displayName="Table_3" name="Table_3" id="3">
  <tableColumns count="4">
    <tableColumn name="BEFORE COVID" id="1"/>
    <tableColumn name="Food" id="2"/>
    <tableColumn name="G, S&amp;T" id="3"/>
    <tableColumn name="S&amp;M" id="4"/>
  </tableColumns>
  <tableStyleInfo name="QUES_4-style" showColumnStripes="0" showFirstColumn="1" showLastColumn="1" showRowStripes="1"/>
</table>
</file>

<file path=xl/tables/table4.xml><?xml version="1.0" encoding="utf-8"?>
<table xmlns="http://schemas.openxmlformats.org/spreadsheetml/2006/main" ref="D21:G24" displayName="Table_4" name="Table_4" id="4">
  <tableColumns count="4">
    <tableColumn name="AFTER COVID" id="1"/>
    <tableColumn name="Food" id="2"/>
    <tableColumn name="G, S&amp;T" id="3"/>
    <tableColumn name="S&amp;M" id="4"/>
  </tableColumns>
  <tableStyleInfo name="QUES_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43"/>
    <col customWidth="1" min="5" max="5" width="14.43"/>
    <col customWidth="1" min="6" max="6" width="8.71"/>
    <col customWidth="1" min="7" max="7" width="18.14"/>
    <col customWidth="1" min="8" max="8" width="13.14"/>
    <col customWidth="1" min="9" max="9" width="8.71"/>
    <col customWidth="1" min="10" max="10" width="12.14"/>
    <col customWidth="1" min="11" max="11" width="19.71"/>
    <col customWidth="1" min="12" max="12" width="23.71"/>
    <col customWidth="1" min="13" max="13" width="8.71"/>
    <col customWidth="1" min="14" max="14" width="23.57"/>
    <col customWidth="1" min="15" max="15" width="32.71"/>
    <col customWidth="1" min="16" max="16" width="19.71"/>
    <col customWidth="1" min="17" max="17" width="27.14"/>
    <col customWidth="1" min="18" max="18" width="9.86"/>
    <col customWidth="1" min="19" max="19" width="10.71"/>
    <col customWidth="1" min="20" max="20" width="21.71"/>
    <col customWidth="1" min="21" max="21" width="9.71"/>
    <col customWidth="1" min="22" max="22" width="14.14"/>
    <col customWidth="1" min="23" max="23" width="28.14"/>
    <col customWidth="1" min="24" max="24" width="8.71"/>
    <col customWidth="1" min="25" max="25" width="28.29"/>
    <col customWidth="1" min="26" max="26" width="26.0"/>
    <col customWidth="1" min="27" max="27" width="11.29"/>
    <col customWidth="1" min="28" max="28" width="23.86"/>
    <col customWidth="1" min="29" max="29" width="14.71"/>
    <col customWidth="1" min="30" max="30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2013.0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104.0</v>
      </c>
      <c r="Y2" s="1">
        <v>103.3</v>
      </c>
      <c r="Z2" s="1">
        <v>103.4</v>
      </c>
      <c r="AA2" s="1">
        <v>103.8</v>
      </c>
      <c r="AB2" s="1">
        <v>104.7</v>
      </c>
      <c r="AC2" s="1">
        <v>104.0</v>
      </c>
      <c r="AD2" s="1">
        <v>105.1</v>
      </c>
    </row>
    <row r="3">
      <c r="A3" s="1" t="s">
        <v>33</v>
      </c>
      <c r="B3" s="1">
        <v>2013.0</v>
      </c>
      <c r="C3" s="1" t="s">
        <v>31</v>
      </c>
      <c r="D3" s="1">
        <v>110.5</v>
      </c>
      <c r="E3" s="1">
        <v>109.1</v>
      </c>
      <c r="F3" s="1">
        <v>113.0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105.0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104.0</v>
      </c>
    </row>
    <row r="4">
      <c r="A4" s="1" t="s">
        <v>34</v>
      </c>
      <c r="B4" s="1">
        <v>2013.0</v>
      </c>
      <c r="C4" s="1" t="s">
        <v>31</v>
      </c>
      <c r="D4" s="1">
        <v>108.4</v>
      </c>
      <c r="E4" s="1">
        <v>107.3</v>
      </c>
      <c r="F4" s="1">
        <v>110.0</v>
      </c>
      <c r="G4" s="1">
        <v>104.4</v>
      </c>
      <c r="H4" s="1">
        <v>105.1</v>
      </c>
      <c r="I4" s="1">
        <v>103.2</v>
      </c>
      <c r="J4" s="1">
        <v>102.2</v>
      </c>
      <c r="K4" s="1">
        <v>106.0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104.0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>
      <c r="A5" s="1" t="s">
        <v>30</v>
      </c>
      <c r="B5" s="1">
        <v>2013.0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104.0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107.0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104.0</v>
      </c>
      <c r="AA5" s="1">
        <v>104.1</v>
      </c>
      <c r="AB5" s="1">
        <v>104.6</v>
      </c>
      <c r="AC5" s="1">
        <v>104.4</v>
      </c>
      <c r="AD5" s="1">
        <v>105.8</v>
      </c>
    </row>
    <row r="6">
      <c r="A6" s="1" t="s">
        <v>33</v>
      </c>
      <c r="B6" s="1">
        <v>2013.0</v>
      </c>
      <c r="C6" s="1" t="s">
        <v>35</v>
      </c>
      <c r="D6" s="1">
        <v>112.9</v>
      </c>
      <c r="E6" s="1">
        <v>112.9</v>
      </c>
      <c r="F6" s="1">
        <v>116.9</v>
      </c>
      <c r="G6" s="1">
        <v>104.0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106.0</v>
      </c>
      <c r="O6" s="1">
        <v>109.0</v>
      </c>
      <c r="P6" s="1">
        <v>107.2</v>
      </c>
      <c r="Q6" s="1">
        <v>106.0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>
      <c r="A7" s="1" t="s">
        <v>34</v>
      </c>
      <c r="B7" s="1">
        <v>2013.0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106.0</v>
      </c>
      <c r="T7" s="1">
        <v>106.8</v>
      </c>
      <c r="U7" s="1">
        <v>100.4</v>
      </c>
      <c r="V7" s="1">
        <v>106.0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>
      <c r="A8" s="1" t="s">
        <v>30</v>
      </c>
      <c r="B8" s="1">
        <v>2013.0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105.0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104.0</v>
      </c>
      <c r="AA8" s="1">
        <v>104.3</v>
      </c>
      <c r="AB8" s="1">
        <v>104.3</v>
      </c>
      <c r="AC8" s="1">
        <v>104.6</v>
      </c>
      <c r="AD8" s="1">
        <v>106.0</v>
      </c>
    </row>
    <row r="9">
      <c r="A9" s="1" t="s">
        <v>33</v>
      </c>
      <c r="B9" s="1">
        <v>2013.0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107.0</v>
      </c>
      <c r="O9" s="1">
        <v>109.8</v>
      </c>
      <c r="P9" s="1">
        <v>107.3</v>
      </c>
      <c r="Q9" s="1">
        <v>106.8</v>
      </c>
      <c r="R9" s="1">
        <v>107.2</v>
      </c>
      <c r="S9" s="1">
        <v>106.0</v>
      </c>
      <c r="T9" s="1">
        <v>107.0</v>
      </c>
      <c r="U9" s="1">
        <v>100.4</v>
      </c>
      <c r="V9" s="1">
        <v>106.0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105.0</v>
      </c>
    </row>
    <row r="10">
      <c r="A10" s="1" t="s">
        <v>34</v>
      </c>
      <c r="B10" s="1">
        <v>2013.0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105.0</v>
      </c>
      <c r="L10" s="1">
        <v>104.2</v>
      </c>
      <c r="M10" s="1">
        <v>103.0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104.0</v>
      </c>
      <c r="AB10" s="1">
        <v>104.3</v>
      </c>
      <c r="AC10" s="1">
        <v>104.7</v>
      </c>
      <c r="AD10" s="1">
        <v>105.5</v>
      </c>
    </row>
    <row r="11">
      <c r="A11" s="1" t="s">
        <v>30</v>
      </c>
      <c r="B11" s="1">
        <v>2013.0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108.0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>
      <c r="A12" s="1" t="s">
        <v>33</v>
      </c>
      <c r="B12" s="1">
        <v>2013.0</v>
      </c>
      <c r="C12" s="1" t="s">
        <v>37</v>
      </c>
      <c r="D12" s="1">
        <v>114.6</v>
      </c>
      <c r="E12" s="1">
        <v>113.4</v>
      </c>
      <c r="F12" s="1">
        <v>106.0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102.0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105.0</v>
      </c>
      <c r="Z12" s="1">
        <v>104.0</v>
      </c>
      <c r="AA12" s="1">
        <v>105.2</v>
      </c>
      <c r="AB12" s="1">
        <v>103.2</v>
      </c>
      <c r="AC12" s="1">
        <v>105.1</v>
      </c>
      <c r="AD12" s="1">
        <v>105.7</v>
      </c>
    </row>
    <row r="13">
      <c r="A13" s="1" t="s">
        <v>34</v>
      </c>
      <c r="B13" s="1">
        <v>2013.0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108.0</v>
      </c>
      <c r="S13" s="1">
        <v>107.0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105.0</v>
      </c>
      <c r="AB13" s="1">
        <v>102.9</v>
      </c>
      <c r="AC13" s="1">
        <v>104.8</v>
      </c>
      <c r="AD13" s="1">
        <v>106.1</v>
      </c>
    </row>
    <row r="14">
      <c r="A14" s="1" t="s">
        <v>30</v>
      </c>
      <c r="B14" s="1">
        <v>2013.0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104.0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105.0</v>
      </c>
      <c r="AA14" s="1">
        <v>105.5</v>
      </c>
      <c r="AB14" s="1">
        <v>102.1</v>
      </c>
      <c r="AC14" s="1">
        <v>104.8</v>
      </c>
      <c r="AD14" s="1">
        <v>107.2</v>
      </c>
    </row>
    <row r="15">
      <c r="A15" s="1" t="s">
        <v>33</v>
      </c>
      <c r="B15" s="1">
        <v>2013.0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105.0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>
      <c r="A16" s="1" t="s">
        <v>34</v>
      </c>
      <c r="B16" s="1">
        <v>2013.0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104.0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>
      <c r="A17" s="1" t="s">
        <v>30</v>
      </c>
      <c r="B17" s="1">
        <v>2013.0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118.0</v>
      </c>
      <c r="K17" s="1">
        <v>106.8</v>
      </c>
      <c r="L17" s="1">
        <v>104.1</v>
      </c>
      <c r="M17" s="1">
        <v>105.4</v>
      </c>
      <c r="N17" s="1">
        <v>108.2</v>
      </c>
      <c r="O17" s="1">
        <v>111.0</v>
      </c>
      <c r="P17" s="1">
        <v>110.6</v>
      </c>
      <c r="Q17" s="1">
        <v>109.0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105.0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>
      <c r="A18" s="1" t="s">
        <v>33</v>
      </c>
      <c r="B18" s="1">
        <v>2013.0</v>
      </c>
      <c r="C18" s="1" t="s">
        <v>39</v>
      </c>
      <c r="D18" s="1">
        <v>117.0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110.0</v>
      </c>
      <c r="O18" s="1">
        <v>112.2</v>
      </c>
      <c r="P18" s="1">
        <v>115.0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108.0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>
      <c r="A19" s="1" t="s">
        <v>34</v>
      </c>
      <c r="B19" s="1">
        <v>2013.0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109.0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>
      <c r="A20" s="1" t="s">
        <v>30</v>
      </c>
      <c r="B20" s="1">
        <v>2013.0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129.2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ht="15.75" customHeight="1">
      <c r="A21" s="1" t="s">
        <v>33</v>
      </c>
      <c r="B21" s="1">
        <v>2013.0</v>
      </c>
      <c r="C21" s="1" t="s">
        <v>40</v>
      </c>
      <c r="D21" s="1">
        <v>117.8</v>
      </c>
      <c r="E21" s="1">
        <v>119.2</v>
      </c>
      <c r="F21" s="1">
        <v>114.0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ht="15.75" customHeight="1">
      <c r="A22" s="1" t="s">
        <v>34</v>
      </c>
      <c r="B22" s="1">
        <v>2013.0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140.0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110.0</v>
      </c>
      <c r="U22" s="1">
        <v>107.7</v>
      </c>
      <c r="V22" s="1">
        <v>109.2</v>
      </c>
      <c r="W22" s="1">
        <v>108.2</v>
      </c>
      <c r="X22" s="1">
        <v>107.0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111.0</v>
      </c>
    </row>
    <row r="23" ht="15.75" customHeight="1">
      <c r="A23" s="1" t="s">
        <v>30</v>
      </c>
      <c r="B23" s="1">
        <v>2013.0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110.0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105.0</v>
      </c>
      <c r="AC23" s="1">
        <v>107.5</v>
      </c>
      <c r="AD23" s="1">
        <v>112.1</v>
      </c>
    </row>
    <row r="24" ht="15.75" customHeight="1">
      <c r="A24" s="1" t="s">
        <v>33</v>
      </c>
      <c r="B24" s="1">
        <v>2013.0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177.0</v>
      </c>
      <c r="K24" s="1">
        <v>104.7</v>
      </c>
      <c r="L24" s="1">
        <v>101.0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106.0</v>
      </c>
      <c r="AC24" s="1">
        <v>108.3</v>
      </c>
      <c r="AD24" s="1">
        <v>112.7</v>
      </c>
    </row>
    <row r="25" ht="15.75" customHeight="1">
      <c r="A25" s="1" t="s">
        <v>34</v>
      </c>
      <c r="B25" s="1">
        <v>2013.0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111.0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108.0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ht="15.75" customHeight="1">
      <c r="A26" s="1" t="s">
        <v>30</v>
      </c>
      <c r="B26" s="1">
        <v>2013.0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111.0</v>
      </c>
      <c r="H26" s="1">
        <v>107.4</v>
      </c>
      <c r="I26" s="1">
        <v>110.9</v>
      </c>
      <c r="J26" s="1">
        <v>154.0</v>
      </c>
      <c r="K26" s="1">
        <v>108.1</v>
      </c>
      <c r="L26" s="1">
        <v>104.2</v>
      </c>
      <c r="M26" s="1">
        <v>107.9</v>
      </c>
      <c r="N26" s="1">
        <v>110.4</v>
      </c>
      <c r="O26" s="1">
        <v>114.0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ht="15.75" customHeight="1">
      <c r="A27" s="1" t="s">
        <v>33</v>
      </c>
      <c r="B27" s="1">
        <v>2013.0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109.0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ht="15.75" customHeight="1">
      <c r="A28" s="1" t="s">
        <v>34</v>
      </c>
      <c r="B28" s="1">
        <v>2013.0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112.0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109.0</v>
      </c>
      <c r="AD28" s="1">
        <v>113.7</v>
      </c>
    </row>
    <row r="29" ht="15.75" customHeight="1">
      <c r="A29" s="1" t="s">
        <v>30</v>
      </c>
      <c r="B29" s="1">
        <v>2013.0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ht="15.75" customHeight="1">
      <c r="A30" s="1" t="s">
        <v>33</v>
      </c>
      <c r="B30" s="1">
        <v>2013.0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116.0</v>
      </c>
      <c r="P30" s="1">
        <v>120.8</v>
      </c>
      <c r="Q30" s="1">
        <v>113.5</v>
      </c>
      <c r="R30" s="1">
        <v>112.5</v>
      </c>
      <c r="S30" s="1">
        <v>109.7</v>
      </c>
      <c r="T30" s="1">
        <v>112.0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108.0</v>
      </c>
      <c r="AA30" s="1">
        <v>111.3</v>
      </c>
      <c r="AB30" s="1">
        <v>107.3</v>
      </c>
      <c r="AC30" s="1">
        <v>109.4</v>
      </c>
      <c r="AD30" s="1">
        <v>114.0</v>
      </c>
    </row>
    <row r="31" ht="15.75" customHeight="1">
      <c r="A31" s="1" t="s">
        <v>34</v>
      </c>
      <c r="B31" s="1">
        <v>2013.0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ht="15.75" customHeight="1">
      <c r="A32" s="1" t="s">
        <v>30</v>
      </c>
      <c r="B32" s="1">
        <v>2013.0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109.0</v>
      </c>
      <c r="N32" s="1">
        <v>111.8</v>
      </c>
      <c r="O32" s="1">
        <v>116.0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111.0</v>
      </c>
      <c r="AB32" s="1">
        <v>108.2</v>
      </c>
      <c r="AC32" s="1">
        <v>109.8</v>
      </c>
      <c r="AD32" s="1">
        <v>117.4</v>
      </c>
    </row>
    <row r="33" ht="15.75" customHeight="1">
      <c r="A33" s="1" t="s">
        <v>33</v>
      </c>
      <c r="B33" s="1">
        <v>2013.0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112.0</v>
      </c>
      <c r="H33" s="1">
        <v>103.2</v>
      </c>
      <c r="I33" s="1">
        <v>110.0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113.0</v>
      </c>
      <c r="U33" s="1">
        <v>111.1</v>
      </c>
      <c r="V33" s="1">
        <v>110.0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115.0</v>
      </c>
    </row>
    <row r="34" ht="15.75" customHeight="1">
      <c r="A34" s="1" t="s">
        <v>34</v>
      </c>
      <c r="B34" s="1">
        <v>2013.0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ht="15.75" customHeight="1">
      <c r="A35" s="1" t="s">
        <v>30</v>
      </c>
      <c r="B35" s="1">
        <v>2013.0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145.7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114.0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ht="15.75" customHeight="1">
      <c r="A36" s="1" t="s">
        <v>33</v>
      </c>
      <c r="B36" s="1">
        <v>2013.0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115.0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109.0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ht="15.75" customHeight="1">
      <c r="A37" s="1" t="s">
        <v>34</v>
      </c>
      <c r="B37" s="1">
        <v>2013.0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114.0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109.0</v>
      </c>
      <c r="AA37" s="1">
        <v>111.5</v>
      </c>
      <c r="AB37" s="1">
        <v>107.9</v>
      </c>
      <c r="AC37" s="1">
        <v>110.0</v>
      </c>
      <c r="AD37" s="1">
        <v>114.5</v>
      </c>
    </row>
    <row r="38" ht="15.75" customHeight="1">
      <c r="A38" s="1" t="s">
        <v>30</v>
      </c>
      <c r="B38" s="1">
        <v>2014.0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109.0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116.0</v>
      </c>
      <c r="Q38" s="1">
        <v>114.0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113.0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ht="15.75" customHeight="1">
      <c r="A39" s="1" t="s">
        <v>33</v>
      </c>
      <c r="B39" s="1">
        <v>2014.0</v>
      </c>
      <c r="C39" s="1" t="s">
        <v>31</v>
      </c>
      <c r="D39" s="1">
        <v>121.2</v>
      </c>
      <c r="E39" s="1">
        <v>122.0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119.0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111.0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108.0</v>
      </c>
      <c r="AC39" s="1">
        <v>110.5</v>
      </c>
      <c r="AD39" s="1">
        <v>112.9</v>
      </c>
    </row>
    <row r="40" ht="15.75" customHeight="1">
      <c r="A40" s="1" t="s">
        <v>34</v>
      </c>
      <c r="B40" s="1">
        <v>2014.0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111.0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ht="15.75" customHeight="1">
      <c r="A41" s="1" t="s">
        <v>30</v>
      </c>
      <c r="B41" s="1">
        <v>2014.0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115.0</v>
      </c>
      <c r="H41" s="1">
        <v>109.0</v>
      </c>
      <c r="I41" s="1">
        <v>116.6</v>
      </c>
      <c r="J41" s="1">
        <v>116.0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112.0</v>
      </c>
      <c r="AB41" s="1">
        <v>108.7</v>
      </c>
      <c r="AC41" s="1">
        <v>110.9</v>
      </c>
      <c r="AD41" s="1">
        <v>114.0</v>
      </c>
    </row>
    <row r="42" ht="15.75" customHeight="1">
      <c r="A42" s="1" t="s">
        <v>33</v>
      </c>
      <c r="B42" s="1">
        <v>2014.0</v>
      </c>
      <c r="C42" s="1" t="s">
        <v>35</v>
      </c>
      <c r="D42" s="1">
        <v>121.9</v>
      </c>
      <c r="E42" s="1">
        <v>122.0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111.0</v>
      </c>
      <c r="AD42" s="1">
        <v>113.1</v>
      </c>
    </row>
    <row r="43" ht="15.75" customHeight="1">
      <c r="A43" s="1" t="s">
        <v>34</v>
      </c>
      <c r="B43" s="1">
        <v>2014.0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ht="15.75" customHeight="1">
      <c r="A44" s="1" t="s">
        <v>30</v>
      </c>
      <c r="B44" s="1">
        <v>2014.0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113.0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ht="15.75" customHeight="1">
      <c r="A45" s="1" t="s">
        <v>33</v>
      </c>
      <c r="B45" s="1">
        <v>2014.0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116.0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113.0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ht="15.75" customHeight="1">
      <c r="A46" s="1" t="s">
        <v>34</v>
      </c>
      <c r="B46" s="1">
        <v>2014.0</v>
      </c>
      <c r="C46" s="1" t="s">
        <v>47</v>
      </c>
      <c r="D46" s="1">
        <v>120.7</v>
      </c>
      <c r="E46" s="1">
        <v>119.3</v>
      </c>
      <c r="F46" s="1">
        <v>121.0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112.0</v>
      </c>
      <c r="AB46" s="1">
        <v>109.0</v>
      </c>
      <c r="AC46" s="1">
        <v>111.3</v>
      </c>
      <c r="AD46" s="1">
        <v>114.2</v>
      </c>
    </row>
    <row r="47" ht="15.75" customHeight="1">
      <c r="A47" s="1" t="s">
        <v>30</v>
      </c>
      <c r="B47" s="1">
        <v>2014.0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117.0</v>
      </c>
      <c r="H47" s="1">
        <v>109.7</v>
      </c>
      <c r="I47" s="1">
        <v>125.5</v>
      </c>
      <c r="J47" s="1">
        <v>120.5</v>
      </c>
      <c r="K47" s="1">
        <v>111.0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113.0</v>
      </c>
      <c r="AB47" s="1">
        <v>108.9</v>
      </c>
      <c r="AC47" s="1">
        <v>111.5</v>
      </c>
      <c r="AD47" s="1">
        <v>115.4</v>
      </c>
    </row>
    <row r="48" ht="15.75" customHeight="1">
      <c r="A48" s="1" t="s">
        <v>33</v>
      </c>
      <c r="B48" s="1">
        <v>2014.0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117.0</v>
      </c>
      <c r="H48" s="1">
        <v>103.1</v>
      </c>
      <c r="I48" s="1">
        <v>126.7</v>
      </c>
      <c r="J48" s="1">
        <v>121.2</v>
      </c>
      <c r="K48" s="1">
        <v>111.0</v>
      </c>
      <c r="L48" s="1">
        <v>100.3</v>
      </c>
      <c r="M48" s="1">
        <v>115.3</v>
      </c>
      <c r="N48" s="1">
        <v>112.7</v>
      </c>
      <c r="O48" s="1">
        <v>121.0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111.0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ht="15.75" customHeight="1">
      <c r="A49" s="1" t="s">
        <v>34</v>
      </c>
      <c r="B49" s="1">
        <v>2014.0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117.0</v>
      </c>
      <c r="H49" s="1">
        <v>107.3</v>
      </c>
      <c r="I49" s="1">
        <v>126.1</v>
      </c>
      <c r="J49" s="1">
        <v>120.7</v>
      </c>
      <c r="K49" s="1">
        <v>111.0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116.0</v>
      </c>
      <c r="R49" s="1">
        <v>117.4</v>
      </c>
      <c r="S49" s="1">
        <v>114.6</v>
      </c>
      <c r="T49" s="1">
        <v>117.0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109.0</v>
      </c>
      <c r="AC49" s="1">
        <v>111.5</v>
      </c>
      <c r="AD49" s="1">
        <v>115.1</v>
      </c>
    </row>
    <row r="50" ht="15.75" customHeight="1">
      <c r="A50" s="1" t="s">
        <v>30</v>
      </c>
      <c r="B50" s="1">
        <v>2014.0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118.0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116.0</v>
      </c>
    </row>
    <row r="51" ht="15.75" customHeight="1">
      <c r="A51" s="1" t="s">
        <v>33</v>
      </c>
      <c r="B51" s="1">
        <v>2014.0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129.2</v>
      </c>
      <c r="J51" s="1">
        <v>127.0</v>
      </c>
      <c r="K51" s="1">
        <v>112.6</v>
      </c>
      <c r="L51" s="1">
        <v>101.3</v>
      </c>
      <c r="M51" s="1">
        <v>117.0</v>
      </c>
      <c r="N51" s="1">
        <v>112.9</v>
      </c>
      <c r="O51" s="1">
        <v>121.7</v>
      </c>
      <c r="P51" s="1">
        <v>120.0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ht="15.75" customHeight="1">
      <c r="A52" s="1" t="s">
        <v>34</v>
      </c>
      <c r="B52" s="1">
        <v>2014.0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125.0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118.0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113.0</v>
      </c>
      <c r="AB52" s="1">
        <v>109.1</v>
      </c>
      <c r="AC52" s="1">
        <v>111.8</v>
      </c>
      <c r="AD52" s="1">
        <v>115.8</v>
      </c>
    </row>
    <row r="53" ht="15.75" customHeight="1">
      <c r="A53" s="1" t="s">
        <v>30</v>
      </c>
      <c r="B53" s="1">
        <v>2014.0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108.0</v>
      </c>
      <c r="AC53" s="1">
        <v>112.3</v>
      </c>
      <c r="AD53" s="1">
        <v>117.0</v>
      </c>
    </row>
    <row r="54" ht="15.75" customHeight="1">
      <c r="A54" s="1" t="s">
        <v>33</v>
      </c>
      <c r="B54" s="1">
        <v>2014.0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131.2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122.0</v>
      </c>
      <c r="Q54" s="1">
        <v>119.0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ht="15.75" customHeight="1">
      <c r="A55" s="1" t="s">
        <v>34</v>
      </c>
      <c r="B55" s="1">
        <v>2014.0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ht="15.75" customHeight="1">
      <c r="A56" s="1" t="s">
        <v>30</v>
      </c>
      <c r="B56" s="1">
        <v>2014.0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118.0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ht="15.75" customHeight="1">
      <c r="A57" s="1" t="s">
        <v>33</v>
      </c>
      <c r="B57" s="1">
        <v>2014.0</v>
      </c>
      <c r="C57" s="1" t="s">
        <v>40</v>
      </c>
      <c r="D57" s="1">
        <v>123.8</v>
      </c>
      <c r="E57" s="1">
        <v>126.4</v>
      </c>
      <c r="F57" s="1">
        <v>118.0</v>
      </c>
      <c r="G57" s="1">
        <v>121.6</v>
      </c>
      <c r="H57" s="1">
        <v>103.5</v>
      </c>
      <c r="I57" s="1">
        <v>133.7</v>
      </c>
      <c r="J57" s="1">
        <v>172.4</v>
      </c>
      <c r="K57" s="1">
        <v>113.1</v>
      </c>
      <c r="L57" s="1">
        <v>102.7</v>
      </c>
      <c r="M57" s="1">
        <v>120.0</v>
      </c>
      <c r="N57" s="1">
        <v>113.8</v>
      </c>
      <c r="O57" s="1">
        <v>123.4</v>
      </c>
      <c r="P57" s="1">
        <v>127.1</v>
      </c>
      <c r="Q57" s="1">
        <v>121.0</v>
      </c>
      <c r="R57" s="1">
        <v>118.0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113.0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ht="15.75" customHeight="1">
      <c r="A58" s="1" t="s">
        <v>34</v>
      </c>
      <c r="B58" s="1">
        <v>2014.0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121.0</v>
      </c>
      <c r="H58" s="1">
        <v>107.9</v>
      </c>
      <c r="I58" s="1">
        <v>131.2</v>
      </c>
      <c r="J58" s="1">
        <v>157.7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ht="15.75" customHeight="1">
      <c r="A59" s="1" t="s">
        <v>30</v>
      </c>
      <c r="B59" s="1">
        <v>2014.0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129.7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114.0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ht="15.75" customHeight="1">
      <c r="A60" s="1" t="s">
        <v>33</v>
      </c>
      <c r="B60" s="1">
        <v>2014.0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132.7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123.0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ht="15.75" customHeight="1">
      <c r="A61" s="1" t="s">
        <v>34</v>
      </c>
      <c r="B61" s="1">
        <v>2014.0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122.0</v>
      </c>
      <c r="H61" s="1">
        <v>108.0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120.0</v>
      </c>
      <c r="S61" s="1">
        <v>116.8</v>
      </c>
      <c r="T61" s="1">
        <v>119.6</v>
      </c>
      <c r="U61" s="1">
        <v>115.5</v>
      </c>
      <c r="V61" s="1">
        <v>114.0</v>
      </c>
      <c r="W61" s="1">
        <v>115.6</v>
      </c>
      <c r="X61" s="1">
        <v>113.3</v>
      </c>
      <c r="Y61" s="1">
        <v>112.8</v>
      </c>
      <c r="Z61" s="1">
        <v>112.6</v>
      </c>
      <c r="AA61" s="1">
        <v>118.0</v>
      </c>
      <c r="AB61" s="1">
        <v>109.9</v>
      </c>
      <c r="AC61" s="1">
        <v>113.7</v>
      </c>
      <c r="AD61" s="1">
        <v>120.3</v>
      </c>
    </row>
    <row r="62" ht="15.75" customHeight="1">
      <c r="A62" s="1" t="s">
        <v>30</v>
      </c>
      <c r="B62" s="1">
        <v>2014.0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</v>
      </c>
      <c r="J62" s="1">
        <v>158.8</v>
      </c>
      <c r="K62" s="1">
        <v>115.0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ht="15.75" customHeight="1">
      <c r="A63" s="1" t="s">
        <v>33</v>
      </c>
      <c r="B63" s="1">
        <v>2014.0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120.0</v>
      </c>
      <c r="AB63" s="1">
        <v>110.0</v>
      </c>
      <c r="AC63" s="1">
        <v>113.6</v>
      </c>
      <c r="AD63" s="1">
        <v>119.2</v>
      </c>
    </row>
    <row r="64" ht="15.75" customHeight="1">
      <c r="A64" s="1" t="s">
        <v>34</v>
      </c>
      <c r="B64" s="1">
        <v>2014.0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112.0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ht="15.75" customHeight="1">
      <c r="A65" s="1" t="s">
        <v>30</v>
      </c>
      <c r="B65" s="1">
        <v>2014.0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</v>
      </c>
      <c r="K65" s="1">
        <v>115.5</v>
      </c>
      <c r="L65" s="1">
        <v>104.0</v>
      </c>
      <c r="M65" s="1">
        <v>115.3</v>
      </c>
      <c r="N65" s="1">
        <v>116.8</v>
      </c>
      <c r="O65" s="1">
        <v>123.2</v>
      </c>
      <c r="P65" s="1">
        <v>125.1</v>
      </c>
      <c r="Q65" s="1">
        <v>120.0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113.0</v>
      </c>
      <c r="AA65" s="1">
        <v>116.9</v>
      </c>
      <c r="AB65" s="1">
        <v>109.3</v>
      </c>
      <c r="AC65" s="1">
        <v>114.0</v>
      </c>
      <c r="AD65" s="1">
        <v>121.0</v>
      </c>
    </row>
    <row r="66" ht="15.75" customHeight="1">
      <c r="A66" s="1" t="s">
        <v>33</v>
      </c>
      <c r="B66" s="1">
        <v>2014.0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112.0</v>
      </c>
      <c r="W66" s="1">
        <v>115.8</v>
      </c>
      <c r="X66" s="1">
        <v>112.6</v>
      </c>
      <c r="Y66" s="1">
        <v>111.0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ht="15.75" customHeight="1">
      <c r="A67" s="1" t="s">
        <v>34</v>
      </c>
      <c r="B67" s="1">
        <v>2014.0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121.0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ht="15.75" customHeight="1">
      <c r="A68" s="1" t="s">
        <v>30</v>
      </c>
      <c r="B68" s="1">
        <v>2014.0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124.0</v>
      </c>
      <c r="H68" s="1">
        <v>110.5</v>
      </c>
      <c r="I68" s="1">
        <v>128.8</v>
      </c>
      <c r="J68" s="1">
        <v>152.0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112.0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ht="15.75" customHeight="1">
      <c r="A69" s="1" t="s">
        <v>33</v>
      </c>
      <c r="B69" s="1">
        <v>2014.0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153.2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113.0</v>
      </c>
      <c r="Y69" s="1">
        <v>109.7</v>
      </c>
      <c r="Z69" s="1">
        <v>114.0</v>
      </c>
      <c r="AA69" s="1">
        <v>120.3</v>
      </c>
      <c r="AB69" s="1">
        <v>109.6</v>
      </c>
      <c r="AC69" s="1">
        <v>113.4</v>
      </c>
      <c r="AD69" s="1">
        <v>119.0</v>
      </c>
    </row>
    <row r="70" ht="15.75" customHeight="1">
      <c r="A70" s="1" t="s">
        <v>34</v>
      </c>
      <c r="B70" s="1">
        <v>2014.0</v>
      </c>
      <c r="C70" s="1" t="s">
        <v>45</v>
      </c>
      <c r="D70" s="1">
        <v>123.3</v>
      </c>
      <c r="E70" s="1">
        <v>123.7</v>
      </c>
      <c r="F70" s="1">
        <v>121.0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119.0</v>
      </c>
      <c r="AB70" s="1">
        <v>109.1</v>
      </c>
      <c r="AC70" s="1">
        <v>113.8</v>
      </c>
      <c r="AD70" s="1">
        <v>120.1</v>
      </c>
    </row>
    <row r="71" ht="15.75" customHeight="1">
      <c r="A71" s="1" t="s">
        <v>30</v>
      </c>
      <c r="B71" s="1">
        <v>2014.0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</v>
      </c>
      <c r="K71" s="1">
        <v>116.3</v>
      </c>
      <c r="L71" s="1">
        <v>102.0</v>
      </c>
      <c r="M71" s="1">
        <v>116.0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ht="15.75" customHeight="1">
      <c r="A72" s="1" t="s">
        <v>33</v>
      </c>
      <c r="B72" s="1">
        <v>2014.0</v>
      </c>
      <c r="C72" s="1" t="s">
        <v>46</v>
      </c>
      <c r="D72" s="1">
        <v>124.0</v>
      </c>
      <c r="E72" s="1">
        <v>124.7</v>
      </c>
      <c r="F72" s="1">
        <v>126.3</v>
      </c>
      <c r="G72" s="1">
        <v>124.9</v>
      </c>
      <c r="H72" s="1">
        <v>103.0</v>
      </c>
      <c r="I72" s="1">
        <v>122.3</v>
      </c>
      <c r="J72" s="1">
        <v>141.0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124.0</v>
      </c>
      <c r="Q72" s="1">
        <v>126.4</v>
      </c>
      <c r="R72" s="1">
        <v>120.7</v>
      </c>
      <c r="S72" s="1">
        <v>115.8</v>
      </c>
      <c r="T72" s="1">
        <v>120.0</v>
      </c>
      <c r="U72" s="1">
        <v>116.5</v>
      </c>
      <c r="V72" s="1">
        <v>113.0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ht="15.75" customHeight="1">
      <c r="A73" s="1" t="s">
        <v>34</v>
      </c>
      <c r="B73" s="1">
        <v>2014.0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123.0</v>
      </c>
      <c r="R73" s="1">
        <v>122.6</v>
      </c>
      <c r="S73" s="1">
        <v>118.6</v>
      </c>
      <c r="T73" s="1">
        <v>122.0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ht="15.75" customHeight="1">
      <c r="A74" s="1" t="s">
        <v>30</v>
      </c>
      <c r="B74" s="1">
        <v>2015.0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111.0</v>
      </c>
      <c r="I74" s="1">
        <v>130.4</v>
      </c>
      <c r="J74" s="1">
        <v>132.3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124.0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111.0</v>
      </c>
      <c r="Z74" s="1">
        <v>114.0</v>
      </c>
      <c r="AA74" s="1">
        <v>118.2</v>
      </c>
      <c r="AB74" s="1">
        <v>110.2</v>
      </c>
      <c r="AC74" s="1">
        <v>114.5</v>
      </c>
      <c r="AD74" s="1">
        <v>120.3</v>
      </c>
    </row>
    <row r="75" ht="15.75" customHeight="1">
      <c r="A75" s="1" t="s">
        <v>33</v>
      </c>
      <c r="B75" s="1">
        <v>2015.0</v>
      </c>
      <c r="C75" s="1" t="s">
        <v>31</v>
      </c>
      <c r="D75" s="1">
        <v>124.0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128.0</v>
      </c>
      <c r="P75" s="1">
        <v>123.5</v>
      </c>
      <c r="Q75" s="1">
        <v>127.4</v>
      </c>
      <c r="R75" s="1">
        <v>121.0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ht="15.75" customHeight="1">
      <c r="A76" s="1" t="s">
        <v>34</v>
      </c>
      <c r="B76" s="1">
        <v>2015.0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125.0</v>
      </c>
      <c r="H76" s="1">
        <v>108.5</v>
      </c>
      <c r="I76" s="1">
        <v>126.2</v>
      </c>
      <c r="J76" s="1">
        <v>133.0</v>
      </c>
      <c r="K76" s="1">
        <v>119.1</v>
      </c>
      <c r="L76" s="1">
        <v>99.0</v>
      </c>
      <c r="M76" s="1">
        <v>120.3</v>
      </c>
      <c r="N76" s="1">
        <v>117.3</v>
      </c>
      <c r="O76" s="1">
        <v>126.7</v>
      </c>
      <c r="P76" s="1">
        <v>123.1</v>
      </c>
      <c r="Q76" s="1">
        <v>124.0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114.0</v>
      </c>
      <c r="AD76" s="1">
        <v>119.5</v>
      </c>
    </row>
    <row r="77" ht="15.75" customHeight="1">
      <c r="A77" s="1" t="s">
        <v>30</v>
      </c>
      <c r="B77" s="1">
        <v>2015.0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128.2</v>
      </c>
      <c r="K77" s="1">
        <v>118.8</v>
      </c>
      <c r="L77" s="1">
        <v>100.0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125.0</v>
      </c>
      <c r="U77" s="1" t="s">
        <v>32</v>
      </c>
      <c r="V77" s="1">
        <v>120.0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115.0</v>
      </c>
      <c r="AD77" s="1">
        <v>120.6</v>
      </c>
    </row>
    <row r="78" ht="15.75" customHeight="1">
      <c r="A78" s="1" t="s">
        <v>33</v>
      </c>
      <c r="B78" s="1">
        <v>2015.0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</v>
      </c>
      <c r="K78" s="1">
        <v>125.1</v>
      </c>
      <c r="L78" s="1">
        <v>95.0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114.0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ht="15.75" customHeight="1">
      <c r="A79" s="1" t="s">
        <v>34</v>
      </c>
      <c r="B79" s="1">
        <v>2015.0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118.0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ht="15.75" customHeight="1">
      <c r="A80" s="1" t="s">
        <v>30</v>
      </c>
      <c r="B80" s="1">
        <v>2015.0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126.0</v>
      </c>
      <c r="H80" s="1">
        <v>111.8</v>
      </c>
      <c r="I80" s="1">
        <v>130.9</v>
      </c>
      <c r="J80" s="1">
        <v>128.0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126.0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ht="15.75" customHeight="1">
      <c r="A81" s="1" t="s">
        <v>33</v>
      </c>
      <c r="B81" s="1">
        <v>2015.0</v>
      </c>
      <c r="C81" s="1" t="s">
        <v>36</v>
      </c>
      <c r="D81" s="1">
        <v>124.0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117.0</v>
      </c>
      <c r="O81" s="1">
        <v>129.2</v>
      </c>
      <c r="P81" s="1">
        <v>123.9</v>
      </c>
      <c r="Q81" s="1">
        <v>128.8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118.0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ht="15.75" customHeight="1">
      <c r="A82" s="1" t="s">
        <v>34</v>
      </c>
      <c r="B82" s="1">
        <v>2015.0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126.0</v>
      </c>
      <c r="H82" s="1">
        <v>109.2</v>
      </c>
      <c r="I82" s="1">
        <v>127.6</v>
      </c>
      <c r="J82" s="1">
        <v>129.2</v>
      </c>
      <c r="K82" s="1">
        <v>122.4</v>
      </c>
      <c r="L82" s="1">
        <v>97.0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111.0</v>
      </c>
      <c r="AC82" s="1">
        <v>114.7</v>
      </c>
      <c r="AD82" s="1">
        <v>120.2</v>
      </c>
    </row>
    <row r="83" ht="15.75" customHeight="1">
      <c r="A83" s="1" t="s">
        <v>30</v>
      </c>
      <c r="B83" s="1">
        <v>2015.0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134.2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128.7</v>
      </c>
      <c r="P83" s="1">
        <v>123.6</v>
      </c>
      <c r="Q83" s="1">
        <v>125.7</v>
      </c>
      <c r="R83" s="1">
        <v>126.4</v>
      </c>
      <c r="S83" s="1">
        <v>123.3</v>
      </c>
      <c r="T83" s="1">
        <v>126.0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116.0</v>
      </c>
      <c r="AD83" s="1">
        <v>121.5</v>
      </c>
    </row>
    <row r="84" ht="15.75" customHeight="1">
      <c r="A84" s="1" t="s">
        <v>33</v>
      </c>
      <c r="B84" s="1">
        <v>2015.0</v>
      </c>
      <c r="C84" s="1" t="s">
        <v>37</v>
      </c>
      <c r="D84" s="1">
        <v>123.8</v>
      </c>
      <c r="E84" s="1">
        <v>128.2</v>
      </c>
      <c r="F84" s="1">
        <v>110.0</v>
      </c>
      <c r="G84" s="1">
        <v>126.3</v>
      </c>
      <c r="H84" s="1">
        <v>104.5</v>
      </c>
      <c r="I84" s="1">
        <v>130.6</v>
      </c>
      <c r="J84" s="1">
        <v>130.8</v>
      </c>
      <c r="K84" s="1">
        <v>131.3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ht="15.75" customHeight="1">
      <c r="A85" s="1" t="s">
        <v>34</v>
      </c>
      <c r="B85" s="1">
        <v>2015.0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124.0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121.0</v>
      </c>
      <c r="AB85" s="1">
        <v>111.7</v>
      </c>
      <c r="AC85" s="1">
        <v>115.1</v>
      </c>
      <c r="AD85" s="1">
        <v>120.7</v>
      </c>
    </row>
    <row r="86" ht="15.75" customHeight="1">
      <c r="A86" s="1" t="s">
        <v>30</v>
      </c>
      <c r="B86" s="1">
        <v>2015.0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ht="15.75" customHeight="1">
      <c r="A87" s="1" t="s">
        <v>33</v>
      </c>
      <c r="B87" s="1">
        <v>2015.0</v>
      </c>
      <c r="C87" s="1" t="s">
        <v>38</v>
      </c>
      <c r="D87" s="1">
        <v>123.8</v>
      </c>
      <c r="E87" s="1">
        <v>129.7</v>
      </c>
      <c r="F87" s="1">
        <v>111.3</v>
      </c>
      <c r="G87" s="1">
        <v>126.6</v>
      </c>
      <c r="H87" s="1">
        <v>105.2</v>
      </c>
      <c r="I87" s="1">
        <v>130.8</v>
      </c>
      <c r="J87" s="1">
        <v>135.6</v>
      </c>
      <c r="K87" s="1">
        <v>142.6</v>
      </c>
      <c r="L87" s="1">
        <v>90.8</v>
      </c>
      <c r="M87" s="1">
        <v>128.8</v>
      </c>
      <c r="N87" s="1">
        <v>117.7</v>
      </c>
      <c r="O87" s="1">
        <v>129.9</v>
      </c>
      <c r="P87" s="1">
        <v>126.1</v>
      </c>
      <c r="Q87" s="1">
        <v>131.3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116.0</v>
      </c>
      <c r="AA87" s="1">
        <v>122.0</v>
      </c>
      <c r="AB87" s="1">
        <v>112.4</v>
      </c>
      <c r="AC87" s="1">
        <v>115.2</v>
      </c>
      <c r="AD87" s="1">
        <v>120.7</v>
      </c>
    </row>
    <row r="88" ht="15.75" customHeight="1">
      <c r="A88" s="1" t="s">
        <v>34</v>
      </c>
      <c r="B88" s="1">
        <v>2015.0</v>
      </c>
      <c r="C88" s="1" t="s">
        <v>38</v>
      </c>
      <c r="D88" s="1">
        <v>123.6</v>
      </c>
      <c r="E88" s="1">
        <v>128.0</v>
      </c>
      <c r="F88" s="1">
        <v>115.0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</v>
      </c>
      <c r="P88" s="1">
        <v>125.0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112.0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ht="15.75" customHeight="1">
      <c r="A89" s="1" t="s">
        <v>30</v>
      </c>
      <c r="B89" s="1">
        <v>2015.0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128.7</v>
      </c>
      <c r="H89" s="1">
        <v>114.1</v>
      </c>
      <c r="I89" s="1">
        <v>133.2</v>
      </c>
      <c r="J89" s="1">
        <v>135.2</v>
      </c>
      <c r="K89" s="1">
        <v>131.9</v>
      </c>
      <c r="L89" s="1">
        <v>96.3</v>
      </c>
      <c r="M89" s="1">
        <v>123.0</v>
      </c>
      <c r="N89" s="1">
        <v>121.1</v>
      </c>
      <c r="O89" s="1">
        <v>131.2</v>
      </c>
      <c r="P89" s="1">
        <v>126.6</v>
      </c>
      <c r="Q89" s="1">
        <v>128.2</v>
      </c>
      <c r="R89" s="1">
        <v>128.4</v>
      </c>
      <c r="S89" s="1">
        <v>125.1</v>
      </c>
      <c r="T89" s="1">
        <v>128.0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122.0</v>
      </c>
      <c r="AB89" s="1">
        <v>113.0</v>
      </c>
      <c r="AC89" s="1">
        <v>117.9</v>
      </c>
      <c r="AD89" s="1">
        <v>124.1</v>
      </c>
    </row>
    <row r="90" ht="15.75" customHeight="1">
      <c r="A90" s="1" t="s">
        <v>33</v>
      </c>
      <c r="B90" s="1">
        <v>2015.0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106.0</v>
      </c>
      <c r="I90" s="1">
        <v>132.3</v>
      </c>
      <c r="J90" s="1">
        <v>146.7</v>
      </c>
      <c r="K90" s="1">
        <v>148.1</v>
      </c>
      <c r="L90" s="1">
        <v>89.8</v>
      </c>
      <c r="M90" s="1">
        <v>130.5</v>
      </c>
      <c r="N90" s="1">
        <v>118.0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119.0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116.0</v>
      </c>
      <c r="AD90" s="1">
        <v>121.7</v>
      </c>
    </row>
    <row r="91" ht="15.75" customHeight="1">
      <c r="A91" s="1" t="s">
        <v>34</v>
      </c>
      <c r="B91" s="1">
        <v>2015.0</v>
      </c>
      <c r="C91" s="1" t="s">
        <v>39</v>
      </c>
      <c r="D91" s="1">
        <v>123.9</v>
      </c>
      <c r="E91" s="1">
        <v>131.8</v>
      </c>
      <c r="F91" s="1">
        <v>121.6</v>
      </c>
      <c r="G91" s="1">
        <v>128.2</v>
      </c>
      <c r="H91" s="1">
        <v>111.1</v>
      </c>
      <c r="I91" s="1">
        <v>132.8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129.2</v>
      </c>
      <c r="R91" s="1">
        <v>126.4</v>
      </c>
      <c r="S91" s="1">
        <v>122.0</v>
      </c>
      <c r="T91" s="1">
        <v>125.7</v>
      </c>
      <c r="U91" s="1">
        <v>119.0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117.0</v>
      </c>
      <c r="AD91" s="1">
        <v>123.0</v>
      </c>
    </row>
    <row r="92" ht="15.75" customHeight="1">
      <c r="A92" s="1" t="s">
        <v>30</v>
      </c>
      <c r="B92" s="1">
        <v>2015.0</v>
      </c>
      <c r="C92" s="1" t="s">
        <v>40</v>
      </c>
      <c r="D92" s="1">
        <v>124.0</v>
      </c>
      <c r="E92" s="1">
        <v>131.5</v>
      </c>
      <c r="F92" s="1">
        <v>122.0</v>
      </c>
      <c r="G92" s="1">
        <v>128.7</v>
      </c>
      <c r="H92" s="1">
        <v>113.5</v>
      </c>
      <c r="I92" s="1">
        <v>133.3</v>
      </c>
      <c r="J92" s="1">
        <v>140.8</v>
      </c>
      <c r="K92" s="1">
        <v>133.8</v>
      </c>
      <c r="L92" s="1">
        <v>94.1</v>
      </c>
      <c r="M92" s="1">
        <v>123.4</v>
      </c>
      <c r="N92" s="1">
        <v>121.0</v>
      </c>
      <c r="O92" s="1">
        <v>131.7</v>
      </c>
      <c r="P92" s="1">
        <v>127.5</v>
      </c>
      <c r="Q92" s="1">
        <v>129.4</v>
      </c>
      <c r="R92" s="1">
        <v>128.8</v>
      </c>
      <c r="S92" s="1">
        <v>125.5</v>
      </c>
      <c r="T92" s="1">
        <v>128.3</v>
      </c>
      <c r="U92" s="1" t="s">
        <v>32</v>
      </c>
      <c r="V92" s="1">
        <v>123.0</v>
      </c>
      <c r="W92" s="1">
        <v>123.0</v>
      </c>
      <c r="X92" s="1">
        <v>120.8</v>
      </c>
      <c r="Y92" s="1">
        <v>114.1</v>
      </c>
      <c r="Z92" s="1">
        <v>118.0</v>
      </c>
      <c r="AA92" s="1">
        <v>122.9</v>
      </c>
      <c r="AB92" s="1">
        <v>112.7</v>
      </c>
      <c r="AC92" s="1">
        <v>118.1</v>
      </c>
      <c r="AD92" s="1">
        <v>124.7</v>
      </c>
    </row>
    <row r="93" ht="15.75" customHeight="1">
      <c r="A93" s="1" t="s">
        <v>33</v>
      </c>
      <c r="B93" s="1">
        <v>2015.0</v>
      </c>
      <c r="C93" s="1" t="s">
        <v>40</v>
      </c>
      <c r="D93" s="1">
        <v>123.2</v>
      </c>
      <c r="E93" s="1">
        <v>134.3</v>
      </c>
      <c r="F93" s="1">
        <v>119.5</v>
      </c>
      <c r="G93" s="1">
        <v>127.7</v>
      </c>
      <c r="H93" s="1">
        <v>106.3</v>
      </c>
      <c r="I93" s="1">
        <v>132.8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116.0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ht="15.75" customHeight="1">
      <c r="A94" s="1" t="s">
        <v>34</v>
      </c>
      <c r="B94" s="1">
        <v>2015.0</v>
      </c>
      <c r="C94" s="1" t="s">
        <v>40</v>
      </c>
      <c r="D94" s="1">
        <v>123.7</v>
      </c>
      <c r="E94" s="1">
        <v>132.5</v>
      </c>
      <c r="F94" s="1">
        <v>121.0</v>
      </c>
      <c r="G94" s="1">
        <v>128.3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128.2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119.0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ht="15.75" customHeight="1">
      <c r="A95" s="1" t="s">
        <v>30</v>
      </c>
      <c r="B95" s="1">
        <v>2015.0</v>
      </c>
      <c r="C95" s="1" t="s">
        <v>41</v>
      </c>
      <c r="D95" s="1">
        <v>124.7</v>
      </c>
      <c r="E95" s="1">
        <v>131.3</v>
      </c>
      <c r="F95" s="1">
        <v>121.3</v>
      </c>
      <c r="G95" s="1">
        <v>128.8</v>
      </c>
      <c r="H95" s="1">
        <v>114.0</v>
      </c>
      <c r="I95" s="1">
        <v>134.2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</v>
      </c>
      <c r="Q95" s="1">
        <v>130.1</v>
      </c>
      <c r="R95" s="1">
        <v>129.5</v>
      </c>
      <c r="S95" s="1">
        <v>126.3</v>
      </c>
      <c r="T95" s="1">
        <v>129.0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ht="15.75" customHeight="1">
      <c r="A96" s="1" t="s">
        <v>33</v>
      </c>
      <c r="B96" s="1">
        <v>2015.0</v>
      </c>
      <c r="C96" s="1" t="s">
        <v>41</v>
      </c>
      <c r="D96" s="1">
        <v>123.1</v>
      </c>
      <c r="E96" s="1">
        <v>131.7</v>
      </c>
      <c r="F96" s="1">
        <v>118.1</v>
      </c>
      <c r="G96" s="1">
        <v>128.0</v>
      </c>
      <c r="H96" s="1">
        <v>106.8</v>
      </c>
      <c r="I96" s="1">
        <v>130.1</v>
      </c>
      <c r="J96" s="1">
        <v>165.5</v>
      </c>
      <c r="K96" s="1">
        <v>156.0</v>
      </c>
      <c r="L96" s="1">
        <v>85.3</v>
      </c>
      <c r="M96" s="1">
        <v>132.7</v>
      </c>
      <c r="N96" s="1">
        <v>118.8</v>
      </c>
      <c r="O96" s="1">
        <v>131.7</v>
      </c>
      <c r="P96" s="1">
        <v>131.1</v>
      </c>
      <c r="Q96" s="1">
        <v>134.2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120.0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112.0</v>
      </c>
      <c r="AC96" s="1">
        <v>116.2</v>
      </c>
      <c r="AD96" s="1">
        <v>123.2</v>
      </c>
    </row>
    <row r="97" ht="15.75" customHeight="1">
      <c r="A97" s="1" t="s">
        <v>34</v>
      </c>
      <c r="B97" s="1">
        <v>2015.0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</v>
      </c>
      <c r="J97" s="1">
        <v>157.6</v>
      </c>
      <c r="K97" s="1">
        <v>144.0</v>
      </c>
      <c r="L97" s="1">
        <v>90.5</v>
      </c>
      <c r="M97" s="1">
        <v>126.8</v>
      </c>
      <c r="N97" s="1">
        <v>120.4</v>
      </c>
      <c r="O97" s="1">
        <v>132.1</v>
      </c>
      <c r="P97" s="1">
        <v>130.3</v>
      </c>
      <c r="Q97" s="1">
        <v>131.2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122.0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ht="15.75" customHeight="1">
      <c r="A98" s="1" t="s">
        <v>30</v>
      </c>
      <c r="B98" s="1">
        <v>2015.0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129.2</v>
      </c>
      <c r="H98" s="1">
        <v>114.7</v>
      </c>
      <c r="I98" s="1">
        <v>132.3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132.7</v>
      </c>
      <c r="P98" s="1">
        <v>131.0</v>
      </c>
      <c r="Q98" s="1">
        <v>131.0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127.0</v>
      </c>
    </row>
    <row r="99" ht="15.75" customHeight="1">
      <c r="A99" s="1" t="s">
        <v>33</v>
      </c>
      <c r="B99" s="1">
        <v>2015.0</v>
      </c>
      <c r="C99" s="1" t="s">
        <v>42</v>
      </c>
      <c r="D99" s="1">
        <v>123.4</v>
      </c>
      <c r="E99" s="1">
        <v>129.0</v>
      </c>
      <c r="F99" s="1">
        <v>115.6</v>
      </c>
      <c r="G99" s="1">
        <v>128.3</v>
      </c>
      <c r="H99" s="1">
        <v>107.0</v>
      </c>
      <c r="I99" s="1">
        <v>124.0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</v>
      </c>
      <c r="P99" s="1">
        <v>131.5</v>
      </c>
      <c r="Q99" s="1">
        <v>134.7</v>
      </c>
      <c r="R99" s="1">
        <v>124.0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ht="15.75" customHeight="1">
      <c r="A100" s="1" t="s">
        <v>34</v>
      </c>
      <c r="B100" s="1">
        <v>2015.0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162.2</v>
      </c>
      <c r="K100" s="1">
        <v>150.0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131.2</v>
      </c>
      <c r="Q100" s="1">
        <v>132.0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ht="15.75" customHeight="1">
      <c r="A101" s="1" t="s">
        <v>30</v>
      </c>
      <c r="B101" s="1">
        <v>2015.0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133.2</v>
      </c>
      <c r="J101" s="1">
        <v>157.7</v>
      </c>
      <c r="K101" s="1">
        <v>154.2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122.0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ht="15.75" customHeight="1">
      <c r="A102" s="1" t="s">
        <v>33</v>
      </c>
      <c r="B102" s="1">
        <v>2015.0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109.0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</v>
      </c>
      <c r="N102" s="1">
        <v>119.4</v>
      </c>
      <c r="O102" s="1">
        <v>132.9</v>
      </c>
      <c r="P102" s="1">
        <v>132.6</v>
      </c>
      <c r="Q102" s="1">
        <v>135.3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ht="15.75" customHeight="1">
      <c r="A103" s="1" t="s">
        <v>34</v>
      </c>
      <c r="B103" s="1">
        <v>2015.0</v>
      </c>
      <c r="C103" s="1" t="s">
        <v>43</v>
      </c>
      <c r="D103" s="1">
        <v>125.0</v>
      </c>
      <c r="E103" s="1">
        <v>129.8</v>
      </c>
      <c r="F103" s="1">
        <v>118.9</v>
      </c>
      <c r="G103" s="1">
        <v>129.1</v>
      </c>
      <c r="H103" s="1">
        <v>113.3</v>
      </c>
      <c r="I103" s="1">
        <v>129.0</v>
      </c>
      <c r="J103" s="1">
        <v>160.4</v>
      </c>
      <c r="K103" s="1">
        <v>165.3</v>
      </c>
      <c r="L103" s="1">
        <v>92.3</v>
      </c>
      <c r="M103" s="1">
        <v>129.7</v>
      </c>
      <c r="N103" s="1">
        <v>121.1</v>
      </c>
      <c r="O103" s="1">
        <v>133.0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123.0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ht="15.75" customHeight="1">
      <c r="A104" s="1" t="s">
        <v>30</v>
      </c>
      <c r="B104" s="1">
        <v>2015.0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155.2</v>
      </c>
      <c r="K104" s="1">
        <v>160.8</v>
      </c>
      <c r="L104" s="1">
        <v>94.5</v>
      </c>
      <c r="M104" s="1">
        <v>128.3</v>
      </c>
      <c r="N104" s="1">
        <v>123.1</v>
      </c>
      <c r="O104" s="1">
        <v>134.2</v>
      </c>
      <c r="P104" s="1">
        <v>132.4</v>
      </c>
      <c r="Q104" s="1">
        <v>132.2</v>
      </c>
      <c r="R104" s="1">
        <v>132.1</v>
      </c>
      <c r="S104" s="1">
        <v>128.2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114.0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</v>
      </c>
    </row>
    <row r="105" ht="15.75" customHeight="1">
      <c r="A105" s="1" t="s">
        <v>33</v>
      </c>
      <c r="B105" s="1">
        <v>2015.0</v>
      </c>
      <c r="C105" s="1" t="s">
        <v>45</v>
      </c>
      <c r="D105" s="1">
        <v>124.0</v>
      </c>
      <c r="E105" s="1">
        <v>129.8</v>
      </c>
      <c r="F105" s="1">
        <v>121.5</v>
      </c>
      <c r="G105" s="1">
        <v>128.6</v>
      </c>
      <c r="H105" s="1">
        <v>110.0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133.7</v>
      </c>
      <c r="P105" s="1">
        <v>133.3</v>
      </c>
      <c r="Q105" s="1">
        <v>137.6</v>
      </c>
      <c r="R105" s="1">
        <v>125.0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121.0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ht="15.75" customHeight="1">
      <c r="A106" s="1" t="s">
        <v>34</v>
      </c>
      <c r="B106" s="1">
        <v>2015.0</v>
      </c>
      <c r="C106" s="1" t="s">
        <v>45</v>
      </c>
      <c r="D106" s="1">
        <v>125.4</v>
      </c>
      <c r="E106" s="1">
        <v>130.3</v>
      </c>
      <c r="F106" s="1">
        <v>121.6</v>
      </c>
      <c r="G106" s="1">
        <v>129.2</v>
      </c>
      <c r="H106" s="1">
        <v>114.9</v>
      </c>
      <c r="I106" s="1">
        <v>128.2</v>
      </c>
      <c r="J106" s="1">
        <v>158.4</v>
      </c>
      <c r="K106" s="1">
        <v>171.2</v>
      </c>
      <c r="L106" s="1">
        <v>93.3</v>
      </c>
      <c r="M106" s="1">
        <v>131.2</v>
      </c>
      <c r="N106" s="1">
        <v>121.7</v>
      </c>
      <c r="O106" s="1">
        <v>134.0</v>
      </c>
      <c r="P106" s="1">
        <v>132.7</v>
      </c>
      <c r="Q106" s="1">
        <v>133.6</v>
      </c>
      <c r="R106" s="1">
        <v>129.3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ht="15.75" customHeight="1">
      <c r="A107" s="1" t="s">
        <v>30</v>
      </c>
      <c r="B107" s="1">
        <v>2015.0</v>
      </c>
      <c r="C107" s="1" t="s">
        <v>46</v>
      </c>
      <c r="D107" s="1">
        <v>126.3</v>
      </c>
      <c r="E107" s="1">
        <v>131.3</v>
      </c>
      <c r="F107" s="1">
        <v>123.3</v>
      </c>
      <c r="G107" s="1">
        <v>129.8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126.0</v>
      </c>
      <c r="X107" s="1">
        <v>123.1</v>
      </c>
      <c r="Y107" s="1">
        <v>114.0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ht="15.75" customHeight="1">
      <c r="A108" s="1" t="s">
        <v>33</v>
      </c>
      <c r="B108" s="1">
        <v>2015.0</v>
      </c>
      <c r="C108" s="1" t="s">
        <v>46</v>
      </c>
      <c r="D108" s="1">
        <v>124.3</v>
      </c>
      <c r="E108" s="1">
        <v>131.7</v>
      </c>
      <c r="F108" s="1">
        <v>127.1</v>
      </c>
      <c r="G108" s="1">
        <v>128.6</v>
      </c>
      <c r="H108" s="1">
        <v>110.0</v>
      </c>
      <c r="I108" s="1">
        <v>120.8</v>
      </c>
      <c r="J108" s="1">
        <v>149.0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134.2</v>
      </c>
      <c r="P108" s="1">
        <v>131.5</v>
      </c>
      <c r="Q108" s="1">
        <v>138.2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116.0</v>
      </c>
      <c r="W108" s="1">
        <v>121.0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124.0</v>
      </c>
    </row>
    <row r="109" ht="15.75" customHeight="1">
      <c r="A109" s="1" t="s">
        <v>34</v>
      </c>
      <c r="B109" s="1">
        <v>2015.0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146.7</v>
      </c>
      <c r="K109" s="1">
        <v>171.5</v>
      </c>
      <c r="L109" s="1">
        <v>94.5</v>
      </c>
      <c r="M109" s="1">
        <v>132.1</v>
      </c>
      <c r="N109" s="1">
        <v>122.0</v>
      </c>
      <c r="O109" s="1">
        <v>134.7</v>
      </c>
      <c r="P109" s="1">
        <v>131.4</v>
      </c>
      <c r="Q109" s="1">
        <v>134.5</v>
      </c>
      <c r="R109" s="1">
        <v>129.7</v>
      </c>
      <c r="S109" s="1">
        <v>124.8</v>
      </c>
      <c r="T109" s="1">
        <v>129.0</v>
      </c>
      <c r="U109" s="1">
        <v>122.4</v>
      </c>
      <c r="V109" s="1">
        <v>122.0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ht="15.75" customHeight="1">
      <c r="A110" s="1" t="s">
        <v>30</v>
      </c>
      <c r="B110" s="1">
        <v>2016.0</v>
      </c>
      <c r="C110" s="1" t="s">
        <v>31</v>
      </c>
      <c r="D110" s="1">
        <v>126.8</v>
      </c>
      <c r="E110" s="1">
        <v>133.2</v>
      </c>
      <c r="F110" s="1">
        <v>126.5</v>
      </c>
      <c r="G110" s="1">
        <v>130.3</v>
      </c>
      <c r="H110" s="1">
        <v>118.9</v>
      </c>
      <c r="I110" s="1">
        <v>131.6</v>
      </c>
      <c r="J110" s="1">
        <v>140.1</v>
      </c>
      <c r="K110" s="1">
        <v>163.8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133.2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ht="15.75" customHeight="1">
      <c r="A111" s="1" t="s">
        <v>33</v>
      </c>
      <c r="B111" s="1">
        <v>2016.0</v>
      </c>
      <c r="C111" s="1" t="s">
        <v>31</v>
      </c>
      <c r="D111" s="1">
        <v>124.7</v>
      </c>
      <c r="E111" s="1">
        <v>135.9</v>
      </c>
      <c r="F111" s="1">
        <v>132.0</v>
      </c>
      <c r="G111" s="1">
        <v>129.2</v>
      </c>
      <c r="H111" s="1">
        <v>109.7</v>
      </c>
      <c r="I111" s="1">
        <v>119.0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134.7</v>
      </c>
      <c r="P111" s="1">
        <v>131.2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114.0</v>
      </c>
      <c r="AC111" s="1">
        <v>116.8</v>
      </c>
      <c r="AD111" s="1">
        <v>124.2</v>
      </c>
    </row>
    <row r="112" ht="15.75" customHeight="1">
      <c r="A112" s="1" t="s">
        <v>34</v>
      </c>
      <c r="B112" s="1">
        <v>2016.0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</v>
      </c>
      <c r="P112" s="1">
        <v>131.3</v>
      </c>
      <c r="Q112" s="1">
        <v>135.2</v>
      </c>
      <c r="R112" s="1">
        <v>130.3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122.0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ht="15.75" customHeight="1">
      <c r="A113" s="1" t="s">
        <v>30</v>
      </c>
      <c r="B113" s="1">
        <v>2016.0</v>
      </c>
      <c r="C113" s="1" t="s">
        <v>35</v>
      </c>
      <c r="D113" s="1">
        <v>127.1</v>
      </c>
      <c r="E113" s="1">
        <v>133.7</v>
      </c>
      <c r="F113" s="1">
        <v>127.7</v>
      </c>
      <c r="G113" s="1">
        <v>130.7</v>
      </c>
      <c r="H113" s="1">
        <v>118.5</v>
      </c>
      <c r="I113" s="1">
        <v>130.4</v>
      </c>
      <c r="J113" s="1">
        <v>130.9</v>
      </c>
      <c r="K113" s="1">
        <v>162.8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</v>
      </c>
      <c r="Q113" s="1">
        <v>134.4</v>
      </c>
      <c r="R113" s="1">
        <v>133.9</v>
      </c>
      <c r="S113" s="1">
        <v>129.8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ht="15.75" customHeight="1">
      <c r="A114" s="1" t="s">
        <v>33</v>
      </c>
      <c r="B114" s="1">
        <v>2016.0</v>
      </c>
      <c r="C114" s="1" t="s">
        <v>35</v>
      </c>
      <c r="D114" s="1">
        <v>124.8</v>
      </c>
      <c r="E114" s="1">
        <v>135.1</v>
      </c>
      <c r="F114" s="1">
        <v>130.3</v>
      </c>
      <c r="G114" s="1">
        <v>129.6</v>
      </c>
      <c r="H114" s="1">
        <v>108.4</v>
      </c>
      <c r="I114" s="1">
        <v>118.6</v>
      </c>
      <c r="J114" s="1">
        <v>129.2</v>
      </c>
      <c r="K114" s="1">
        <v>176.4</v>
      </c>
      <c r="L114" s="1">
        <v>99.1</v>
      </c>
      <c r="M114" s="1">
        <v>139.7</v>
      </c>
      <c r="N114" s="1">
        <v>120.6</v>
      </c>
      <c r="O114" s="1">
        <v>135.2</v>
      </c>
      <c r="P114" s="1">
        <v>129.1</v>
      </c>
      <c r="Q114" s="1">
        <v>140.0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116.0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ht="15.75" customHeight="1">
      <c r="A115" s="1" t="s">
        <v>34</v>
      </c>
      <c r="B115" s="1">
        <v>2016.0</v>
      </c>
      <c r="C115" s="1" t="s">
        <v>35</v>
      </c>
      <c r="D115" s="1">
        <v>126.4</v>
      </c>
      <c r="E115" s="1">
        <v>134.2</v>
      </c>
      <c r="F115" s="1">
        <v>128.7</v>
      </c>
      <c r="G115" s="1">
        <v>130.3</v>
      </c>
      <c r="H115" s="1">
        <v>114.8</v>
      </c>
      <c r="I115" s="1">
        <v>124.9</v>
      </c>
      <c r="J115" s="1">
        <v>130.3</v>
      </c>
      <c r="K115" s="1">
        <v>167.4</v>
      </c>
      <c r="L115" s="1">
        <v>98.8</v>
      </c>
      <c r="M115" s="1">
        <v>133.6</v>
      </c>
      <c r="N115" s="1">
        <v>123.0</v>
      </c>
      <c r="O115" s="1">
        <v>135.8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130.2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126.0</v>
      </c>
    </row>
    <row r="116" ht="15.75" customHeight="1">
      <c r="A116" s="1" t="s">
        <v>30</v>
      </c>
      <c r="B116" s="1">
        <v>2016.0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131.7</v>
      </c>
      <c r="J116" s="1">
        <v>130.7</v>
      </c>
      <c r="K116" s="1">
        <v>161.2</v>
      </c>
      <c r="L116" s="1">
        <v>100.4</v>
      </c>
      <c r="M116" s="1">
        <v>130.8</v>
      </c>
      <c r="N116" s="1">
        <v>124.9</v>
      </c>
      <c r="O116" s="1">
        <v>137.0</v>
      </c>
      <c r="P116" s="1">
        <v>130.4</v>
      </c>
      <c r="Q116" s="1">
        <v>135.0</v>
      </c>
      <c r="R116" s="1">
        <v>134.4</v>
      </c>
      <c r="S116" s="1">
        <v>130.2</v>
      </c>
      <c r="T116" s="1">
        <v>133.8</v>
      </c>
      <c r="U116" s="1" t="s">
        <v>32</v>
      </c>
      <c r="V116" s="1">
        <v>127.0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128.0</v>
      </c>
    </row>
    <row r="117" ht="15.75" customHeight="1">
      <c r="A117" s="1" t="s">
        <v>33</v>
      </c>
      <c r="B117" s="1">
        <v>2016.0</v>
      </c>
      <c r="C117" s="1" t="s">
        <v>36</v>
      </c>
      <c r="D117" s="1">
        <v>124.8</v>
      </c>
      <c r="E117" s="1">
        <v>136.3</v>
      </c>
      <c r="F117" s="1">
        <v>123.7</v>
      </c>
      <c r="G117" s="1">
        <v>129.7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ht="15.75" customHeight="1">
      <c r="A118" s="1" t="s">
        <v>34</v>
      </c>
      <c r="B118" s="1">
        <v>2016.0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130.2</v>
      </c>
      <c r="H118" s="1">
        <v>114.5</v>
      </c>
      <c r="I118" s="1">
        <v>126.2</v>
      </c>
      <c r="J118" s="1">
        <v>129.8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</v>
      </c>
      <c r="P118" s="1">
        <v>129.8</v>
      </c>
      <c r="Q118" s="1">
        <v>136.5</v>
      </c>
      <c r="R118" s="1">
        <v>131.3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126.0</v>
      </c>
    </row>
    <row r="119" ht="15.75" customHeight="1">
      <c r="A119" s="1" t="s">
        <v>30</v>
      </c>
      <c r="B119" s="1">
        <v>2016.0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</v>
      </c>
      <c r="H119" s="1">
        <v>118.2</v>
      </c>
      <c r="I119" s="1">
        <v>138.1</v>
      </c>
      <c r="J119" s="1">
        <v>134.1</v>
      </c>
      <c r="K119" s="1">
        <v>162.7</v>
      </c>
      <c r="L119" s="1">
        <v>105.0</v>
      </c>
      <c r="M119" s="1">
        <v>131.4</v>
      </c>
      <c r="N119" s="1">
        <v>125.4</v>
      </c>
      <c r="O119" s="1">
        <v>137.4</v>
      </c>
      <c r="P119" s="1">
        <v>131.8</v>
      </c>
      <c r="Q119" s="1">
        <v>135.5</v>
      </c>
      <c r="R119" s="1">
        <v>135.0</v>
      </c>
      <c r="S119" s="1">
        <v>130.6</v>
      </c>
      <c r="T119" s="1">
        <v>134.4</v>
      </c>
      <c r="U119" s="1" t="s">
        <v>32</v>
      </c>
      <c r="V119" s="1">
        <v>127.0</v>
      </c>
      <c r="W119" s="1">
        <v>128.0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129.0</v>
      </c>
    </row>
    <row r="120" ht="15.75" customHeight="1">
      <c r="A120" s="1" t="s">
        <v>33</v>
      </c>
      <c r="B120" s="1">
        <v>2016.0</v>
      </c>
      <c r="C120" s="1" t="s">
        <v>37</v>
      </c>
      <c r="D120" s="1">
        <v>124.9</v>
      </c>
      <c r="E120" s="1">
        <v>139.3</v>
      </c>
      <c r="F120" s="1">
        <v>119.9</v>
      </c>
      <c r="G120" s="1">
        <v>130.2</v>
      </c>
      <c r="H120" s="1">
        <v>108.9</v>
      </c>
      <c r="I120" s="1">
        <v>131.1</v>
      </c>
      <c r="J120" s="1">
        <v>136.8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120.0</v>
      </c>
      <c r="Y120" s="1">
        <v>110.0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ht="15.75" customHeight="1">
      <c r="A121" s="1" t="s">
        <v>34</v>
      </c>
      <c r="B121" s="1">
        <v>2016.0</v>
      </c>
      <c r="C121" s="1" t="s">
        <v>37</v>
      </c>
      <c r="D121" s="1">
        <v>126.6</v>
      </c>
      <c r="E121" s="1">
        <v>136.8</v>
      </c>
      <c r="F121" s="1">
        <v>122.0</v>
      </c>
      <c r="G121" s="1">
        <v>130.9</v>
      </c>
      <c r="H121" s="1">
        <v>114.8</v>
      </c>
      <c r="I121" s="1">
        <v>134.8</v>
      </c>
      <c r="J121" s="1">
        <v>135.0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136.7</v>
      </c>
      <c r="P121" s="1">
        <v>131.8</v>
      </c>
      <c r="Q121" s="1">
        <v>137.1</v>
      </c>
      <c r="R121" s="1">
        <v>131.8</v>
      </c>
      <c r="S121" s="1">
        <v>126.4</v>
      </c>
      <c r="T121" s="1">
        <v>131.0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120.0</v>
      </c>
      <c r="AD121" s="1">
        <v>127.3</v>
      </c>
    </row>
    <row r="122" ht="15.75" customHeight="1">
      <c r="A122" s="1" t="s">
        <v>30</v>
      </c>
      <c r="B122" s="1">
        <v>2016.0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</v>
      </c>
      <c r="K122" s="1">
        <v>166.0</v>
      </c>
      <c r="L122" s="1">
        <v>107.5</v>
      </c>
      <c r="M122" s="1">
        <v>132.2</v>
      </c>
      <c r="N122" s="1">
        <v>126.1</v>
      </c>
      <c r="O122" s="1">
        <v>138.3</v>
      </c>
      <c r="P122" s="1">
        <v>133.6</v>
      </c>
      <c r="Q122" s="1">
        <v>136.0</v>
      </c>
      <c r="R122" s="1">
        <v>135.4</v>
      </c>
      <c r="S122" s="1">
        <v>131.1</v>
      </c>
      <c r="T122" s="1">
        <v>134.8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</v>
      </c>
    </row>
    <row r="123" ht="15.75" customHeight="1">
      <c r="A123" s="1" t="s">
        <v>33</v>
      </c>
      <c r="B123" s="1">
        <v>2016.0</v>
      </c>
      <c r="C123" s="1" t="s">
        <v>38</v>
      </c>
      <c r="D123" s="1">
        <v>125.0</v>
      </c>
      <c r="E123" s="1">
        <v>142.1</v>
      </c>
      <c r="F123" s="1">
        <v>127.0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</v>
      </c>
      <c r="P123" s="1">
        <v>134.6</v>
      </c>
      <c r="Q123" s="1">
        <v>142.2</v>
      </c>
      <c r="R123" s="1">
        <v>127.2</v>
      </c>
      <c r="S123" s="1">
        <v>120.7</v>
      </c>
      <c r="T123" s="1">
        <v>126.2</v>
      </c>
      <c r="U123" s="1">
        <v>126.0</v>
      </c>
      <c r="V123" s="1">
        <v>115.0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128.0</v>
      </c>
      <c r="AB123" s="1">
        <v>118.5</v>
      </c>
      <c r="AC123" s="1">
        <v>118.7</v>
      </c>
      <c r="AD123" s="1">
        <v>126.6</v>
      </c>
    </row>
    <row r="124" ht="15.75" customHeight="1">
      <c r="A124" s="1" t="s">
        <v>34</v>
      </c>
      <c r="B124" s="1">
        <v>2016.0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131.7</v>
      </c>
      <c r="H124" s="1">
        <v>115.0</v>
      </c>
      <c r="I124" s="1">
        <v>136.0</v>
      </c>
      <c r="J124" s="1">
        <v>145.1</v>
      </c>
      <c r="K124" s="1">
        <v>171.7</v>
      </c>
      <c r="L124" s="1">
        <v>108.7</v>
      </c>
      <c r="M124" s="1">
        <v>135.3</v>
      </c>
      <c r="N124" s="1">
        <v>124.2</v>
      </c>
      <c r="O124" s="1">
        <v>137.4</v>
      </c>
      <c r="P124" s="1">
        <v>134.0</v>
      </c>
      <c r="Q124" s="1">
        <v>137.7</v>
      </c>
      <c r="R124" s="1">
        <v>132.2</v>
      </c>
      <c r="S124" s="1">
        <v>126.8</v>
      </c>
      <c r="T124" s="1">
        <v>131.4</v>
      </c>
      <c r="U124" s="1">
        <v>126.0</v>
      </c>
      <c r="V124" s="1">
        <v>122.7</v>
      </c>
      <c r="W124" s="1">
        <v>126.0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ht="15.75" customHeight="1">
      <c r="A125" s="1" t="s">
        <v>30</v>
      </c>
      <c r="B125" s="1">
        <v>2016.0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139.2</v>
      </c>
      <c r="P125" s="1">
        <v>136.0</v>
      </c>
      <c r="Q125" s="1">
        <v>137.2</v>
      </c>
      <c r="R125" s="1">
        <v>136.3</v>
      </c>
      <c r="S125" s="1">
        <v>131.6</v>
      </c>
      <c r="T125" s="1">
        <v>135.6</v>
      </c>
      <c r="U125" s="1" t="s">
        <v>32</v>
      </c>
      <c r="V125" s="1">
        <v>128.0</v>
      </c>
      <c r="W125" s="1">
        <v>129.3</v>
      </c>
      <c r="X125" s="1">
        <v>126.2</v>
      </c>
      <c r="Y125" s="1">
        <v>116.3</v>
      </c>
      <c r="Z125" s="1">
        <v>124.1</v>
      </c>
      <c r="AA125" s="1">
        <v>130.2</v>
      </c>
      <c r="AB125" s="1">
        <v>119.9</v>
      </c>
      <c r="AC125" s="1">
        <v>123.3</v>
      </c>
      <c r="AD125" s="1">
        <v>131.9</v>
      </c>
    </row>
    <row r="126" ht="15.75" customHeight="1">
      <c r="A126" s="1" t="s">
        <v>33</v>
      </c>
      <c r="B126" s="1">
        <v>2016.0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131.0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112.0</v>
      </c>
      <c r="M126" s="1">
        <v>142.8</v>
      </c>
      <c r="N126" s="1">
        <v>121.6</v>
      </c>
      <c r="O126" s="1">
        <v>136.9</v>
      </c>
      <c r="P126" s="1">
        <v>138.2</v>
      </c>
      <c r="Q126" s="1">
        <v>142.7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</v>
      </c>
      <c r="AB126" s="1">
        <v>118.8</v>
      </c>
      <c r="AC126" s="1">
        <v>119.6</v>
      </c>
      <c r="AD126" s="1">
        <v>128.1</v>
      </c>
    </row>
    <row r="127" ht="15.75" customHeight="1">
      <c r="A127" s="1" t="s">
        <v>34</v>
      </c>
      <c r="B127" s="1">
        <v>2016.0</v>
      </c>
      <c r="C127" s="1" t="s">
        <v>39</v>
      </c>
      <c r="D127" s="1">
        <v>127.7</v>
      </c>
      <c r="E127" s="1">
        <v>140.5</v>
      </c>
      <c r="F127" s="1">
        <v>128.3</v>
      </c>
      <c r="G127" s="1">
        <v>132.6</v>
      </c>
      <c r="H127" s="1">
        <v>115.5</v>
      </c>
      <c r="I127" s="1">
        <v>136.5</v>
      </c>
      <c r="J127" s="1">
        <v>159.7</v>
      </c>
      <c r="K127" s="1">
        <v>174.3</v>
      </c>
      <c r="L127" s="1">
        <v>109.9</v>
      </c>
      <c r="M127" s="1">
        <v>136.3</v>
      </c>
      <c r="N127" s="1">
        <v>124.4</v>
      </c>
      <c r="O127" s="1">
        <v>138.1</v>
      </c>
      <c r="P127" s="1">
        <v>136.8</v>
      </c>
      <c r="Q127" s="1">
        <v>138.7</v>
      </c>
      <c r="R127" s="1">
        <v>132.9</v>
      </c>
      <c r="S127" s="1">
        <v>127.2</v>
      </c>
      <c r="T127" s="1">
        <v>132.0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129.7</v>
      </c>
      <c r="AB127" s="1">
        <v>119.4</v>
      </c>
      <c r="AC127" s="1">
        <v>121.5</v>
      </c>
      <c r="AD127" s="1">
        <v>130.1</v>
      </c>
    </row>
    <row r="128" ht="15.75" customHeight="1">
      <c r="A128" s="1" t="s">
        <v>30</v>
      </c>
      <c r="B128" s="1">
        <v>2016.0</v>
      </c>
      <c r="C128" s="1" t="s">
        <v>40</v>
      </c>
      <c r="D128" s="1">
        <v>129.3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158.2</v>
      </c>
      <c r="K128" s="1">
        <v>171.8</v>
      </c>
      <c r="L128" s="1">
        <v>110.3</v>
      </c>
      <c r="M128" s="1">
        <v>134.3</v>
      </c>
      <c r="N128" s="1">
        <v>127.3</v>
      </c>
      <c r="O128" s="1">
        <v>139.9</v>
      </c>
      <c r="P128" s="1">
        <v>137.6</v>
      </c>
      <c r="Q128" s="1">
        <v>138.0</v>
      </c>
      <c r="R128" s="1">
        <v>137.2</v>
      </c>
      <c r="S128" s="1">
        <v>132.2</v>
      </c>
      <c r="T128" s="1">
        <v>136.5</v>
      </c>
      <c r="U128" s="1" t="s">
        <v>32</v>
      </c>
      <c r="V128" s="1">
        <v>128.2</v>
      </c>
      <c r="W128" s="1">
        <v>130.0</v>
      </c>
      <c r="X128" s="1">
        <v>126.7</v>
      </c>
      <c r="Y128" s="1">
        <v>116.4</v>
      </c>
      <c r="Z128" s="1">
        <v>125.2</v>
      </c>
      <c r="AA128" s="1">
        <v>130.8</v>
      </c>
      <c r="AB128" s="1">
        <v>120.9</v>
      </c>
      <c r="AC128" s="1">
        <v>123.8</v>
      </c>
      <c r="AD128" s="1">
        <v>133.0</v>
      </c>
    </row>
    <row r="129" ht="15.75" customHeight="1">
      <c r="A129" s="1" t="s">
        <v>33</v>
      </c>
      <c r="B129" s="1">
        <v>2016.0</v>
      </c>
      <c r="C129" s="1" t="s">
        <v>40</v>
      </c>
      <c r="D129" s="1">
        <v>126.8</v>
      </c>
      <c r="E129" s="1">
        <v>144.2</v>
      </c>
      <c r="F129" s="1">
        <v>136.6</v>
      </c>
      <c r="G129" s="1">
        <v>131.8</v>
      </c>
      <c r="H129" s="1">
        <v>111.0</v>
      </c>
      <c r="I129" s="1">
        <v>137.0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</v>
      </c>
      <c r="AB129" s="1">
        <v>120.0</v>
      </c>
      <c r="AC129" s="1">
        <v>119.9</v>
      </c>
      <c r="AD129" s="1">
        <v>129.0</v>
      </c>
    </row>
    <row r="130" ht="15.75" customHeight="1">
      <c r="A130" s="1" t="s">
        <v>34</v>
      </c>
      <c r="B130" s="1">
        <v>2016.0</v>
      </c>
      <c r="C130" s="1" t="s">
        <v>40</v>
      </c>
      <c r="D130" s="1">
        <v>128.5</v>
      </c>
      <c r="E130" s="1">
        <v>141.2</v>
      </c>
      <c r="F130" s="1">
        <v>132.3</v>
      </c>
      <c r="G130" s="1">
        <v>133.5</v>
      </c>
      <c r="H130" s="1">
        <v>116.4</v>
      </c>
      <c r="I130" s="1">
        <v>137.8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125.0</v>
      </c>
      <c r="O130" s="1">
        <v>138.8</v>
      </c>
      <c r="P130" s="1">
        <v>138.4</v>
      </c>
      <c r="Q130" s="1">
        <v>139.3</v>
      </c>
      <c r="R130" s="1">
        <v>133.5</v>
      </c>
      <c r="S130" s="1">
        <v>127.6</v>
      </c>
      <c r="T130" s="1">
        <v>132.7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</v>
      </c>
      <c r="AB130" s="1">
        <v>120.5</v>
      </c>
      <c r="AC130" s="1">
        <v>121.9</v>
      </c>
      <c r="AD130" s="1">
        <v>131.1</v>
      </c>
    </row>
    <row r="131" ht="15.75" customHeight="1">
      <c r="A131" s="1" t="s">
        <v>30</v>
      </c>
      <c r="B131" s="1">
        <v>2016.0</v>
      </c>
      <c r="C131" s="1" t="s">
        <v>41</v>
      </c>
      <c r="D131" s="1">
        <v>130.1</v>
      </c>
      <c r="E131" s="1">
        <v>138.8</v>
      </c>
      <c r="F131" s="1">
        <v>130.3</v>
      </c>
      <c r="G131" s="1">
        <v>135.3</v>
      </c>
      <c r="H131" s="1">
        <v>119.9</v>
      </c>
      <c r="I131" s="1">
        <v>140.2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140.7</v>
      </c>
      <c r="P131" s="1">
        <v>138.0</v>
      </c>
      <c r="Q131" s="1">
        <v>138.9</v>
      </c>
      <c r="R131" s="1">
        <v>137.8</v>
      </c>
      <c r="S131" s="1">
        <v>133.0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127.0</v>
      </c>
      <c r="Y131" s="1">
        <v>116.0</v>
      </c>
      <c r="Z131" s="1">
        <v>125.5</v>
      </c>
      <c r="AA131" s="1">
        <v>131.9</v>
      </c>
      <c r="AB131" s="1">
        <v>122.0</v>
      </c>
      <c r="AC131" s="1">
        <v>124.2</v>
      </c>
      <c r="AD131" s="1">
        <v>133.5</v>
      </c>
    </row>
    <row r="132" ht="15.75" customHeight="1">
      <c r="A132" s="1" t="s">
        <v>33</v>
      </c>
      <c r="B132" s="1">
        <v>2016.0</v>
      </c>
      <c r="C132" s="1" t="s">
        <v>41</v>
      </c>
      <c r="D132" s="1">
        <v>127.6</v>
      </c>
      <c r="E132" s="1">
        <v>140.3</v>
      </c>
      <c r="F132" s="1">
        <v>133.7</v>
      </c>
      <c r="G132" s="1">
        <v>132.2</v>
      </c>
      <c r="H132" s="1">
        <v>111.8</v>
      </c>
      <c r="I132" s="1">
        <v>135.8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ht="15.75" customHeight="1">
      <c r="A133" s="1" t="s">
        <v>34</v>
      </c>
      <c r="B133" s="1">
        <v>2016.0</v>
      </c>
      <c r="C133" s="1" t="s">
        <v>41</v>
      </c>
      <c r="D133" s="1">
        <v>129.3</v>
      </c>
      <c r="E133" s="1">
        <v>139.3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140.2</v>
      </c>
      <c r="R133" s="1">
        <v>134.1</v>
      </c>
      <c r="S133" s="1">
        <v>128.2</v>
      </c>
      <c r="T133" s="1">
        <v>133.2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131.7</v>
      </c>
      <c r="AB133" s="1">
        <v>121.5</v>
      </c>
      <c r="AC133" s="1">
        <v>122.1</v>
      </c>
      <c r="AD133" s="1">
        <v>131.1</v>
      </c>
    </row>
    <row r="134" ht="15.75" customHeight="1">
      <c r="A134" s="1" t="s">
        <v>30</v>
      </c>
      <c r="B134" s="1">
        <v>2016.0</v>
      </c>
      <c r="C134" s="1" t="s">
        <v>42</v>
      </c>
      <c r="D134" s="1">
        <v>130.8</v>
      </c>
      <c r="E134" s="1">
        <v>138.2</v>
      </c>
      <c r="F134" s="1">
        <v>130.5</v>
      </c>
      <c r="G134" s="1">
        <v>135.5</v>
      </c>
      <c r="H134" s="1">
        <v>120.2</v>
      </c>
      <c r="I134" s="1">
        <v>139.2</v>
      </c>
      <c r="J134" s="1">
        <v>149.5</v>
      </c>
      <c r="K134" s="1">
        <v>170.4</v>
      </c>
      <c r="L134" s="1">
        <v>113.1</v>
      </c>
      <c r="M134" s="1">
        <v>135.8</v>
      </c>
      <c r="N134" s="1">
        <v>128.8</v>
      </c>
      <c r="O134" s="1">
        <v>141.5</v>
      </c>
      <c r="P134" s="1">
        <v>137.2</v>
      </c>
      <c r="Q134" s="1">
        <v>139.9</v>
      </c>
      <c r="R134" s="1">
        <v>138.5</v>
      </c>
      <c r="S134" s="1">
        <v>133.5</v>
      </c>
      <c r="T134" s="1">
        <v>137.8</v>
      </c>
      <c r="U134" s="1" t="s">
        <v>32</v>
      </c>
      <c r="V134" s="1">
        <v>129.7</v>
      </c>
      <c r="W134" s="1">
        <v>131.1</v>
      </c>
      <c r="X134" s="1">
        <v>127.8</v>
      </c>
      <c r="Y134" s="1">
        <v>117.0</v>
      </c>
      <c r="Z134" s="1">
        <v>125.7</v>
      </c>
      <c r="AA134" s="1">
        <v>132.2</v>
      </c>
      <c r="AB134" s="1">
        <v>122.8</v>
      </c>
      <c r="AC134" s="1">
        <v>124.9</v>
      </c>
      <c r="AD134" s="1">
        <v>133.4</v>
      </c>
    </row>
    <row r="135" ht="15.75" customHeight="1">
      <c r="A135" s="1" t="s">
        <v>33</v>
      </c>
      <c r="B135" s="1">
        <v>2016.0</v>
      </c>
      <c r="C135" s="1" t="s">
        <v>42</v>
      </c>
      <c r="D135" s="1">
        <v>128.1</v>
      </c>
      <c r="E135" s="1">
        <v>137.7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</v>
      </c>
      <c r="N135" s="1">
        <v>122.1</v>
      </c>
      <c r="O135" s="1">
        <v>138.8</v>
      </c>
      <c r="P135" s="1">
        <v>135.7</v>
      </c>
      <c r="Q135" s="1">
        <v>143.9</v>
      </c>
      <c r="R135" s="1">
        <v>128.7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128.0</v>
      </c>
    </row>
    <row r="136" ht="15.75" customHeight="1">
      <c r="A136" s="1" t="s">
        <v>34</v>
      </c>
      <c r="B136" s="1">
        <v>2016.0</v>
      </c>
      <c r="C136" s="1" t="s">
        <v>42</v>
      </c>
      <c r="D136" s="1">
        <v>129.9</v>
      </c>
      <c r="E136" s="1">
        <v>138.0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150.7</v>
      </c>
      <c r="K136" s="1">
        <v>171.5</v>
      </c>
      <c r="L136" s="1">
        <v>113.8</v>
      </c>
      <c r="M136" s="1">
        <v>138.8</v>
      </c>
      <c r="N136" s="1">
        <v>126.0</v>
      </c>
      <c r="O136" s="1">
        <v>140.2</v>
      </c>
      <c r="P136" s="1">
        <v>136.6</v>
      </c>
      <c r="Q136" s="1">
        <v>141.0</v>
      </c>
      <c r="R136" s="1">
        <v>134.6</v>
      </c>
      <c r="S136" s="1">
        <v>128.6</v>
      </c>
      <c r="T136" s="1">
        <v>133.8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</v>
      </c>
      <c r="AB136" s="1">
        <v>122.1</v>
      </c>
      <c r="AC136" s="1">
        <v>122.8</v>
      </c>
      <c r="AD136" s="1">
        <v>130.9</v>
      </c>
    </row>
    <row r="137" ht="15.75" customHeight="1">
      <c r="A137" s="1" t="s">
        <v>30</v>
      </c>
      <c r="B137" s="1">
        <v>2016.0</v>
      </c>
      <c r="C137" s="1" t="s">
        <v>43</v>
      </c>
      <c r="D137" s="1">
        <v>131.3</v>
      </c>
      <c r="E137" s="1">
        <v>137.6</v>
      </c>
      <c r="F137" s="1">
        <v>130.1</v>
      </c>
      <c r="G137" s="1">
        <v>136.0</v>
      </c>
      <c r="H137" s="1">
        <v>120.8</v>
      </c>
      <c r="I137" s="1">
        <v>138.4</v>
      </c>
      <c r="J137" s="1">
        <v>149.2</v>
      </c>
      <c r="K137" s="1">
        <v>170.2</v>
      </c>
      <c r="L137" s="1">
        <v>113.4</v>
      </c>
      <c r="M137" s="1">
        <v>136.3</v>
      </c>
      <c r="N137" s="1">
        <v>128.7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</v>
      </c>
      <c r="T137" s="1">
        <v>138.8</v>
      </c>
      <c r="U137" s="1" t="s">
        <v>32</v>
      </c>
      <c r="V137" s="1">
        <v>129.8</v>
      </c>
      <c r="W137" s="1">
        <v>131.8</v>
      </c>
      <c r="X137" s="1">
        <v>128.7</v>
      </c>
      <c r="Y137" s="1">
        <v>117.8</v>
      </c>
      <c r="Z137" s="1">
        <v>126.5</v>
      </c>
      <c r="AA137" s="1">
        <v>133.0</v>
      </c>
      <c r="AB137" s="1">
        <v>123.0</v>
      </c>
      <c r="AC137" s="1">
        <v>125.7</v>
      </c>
      <c r="AD137" s="1">
        <v>133.8</v>
      </c>
    </row>
    <row r="138" ht="15.75" customHeight="1">
      <c r="A138" s="1" t="s">
        <v>33</v>
      </c>
      <c r="B138" s="1">
        <v>2016.0</v>
      </c>
      <c r="C138" s="1" t="s">
        <v>43</v>
      </c>
      <c r="D138" s="1">
        <v>128.7</v>
      </c>
      <c r="E138" s="1">
        <v>138.4</v>
      </c>
      <c r="F138" s="1">
        <v>130.3</v>
      </c>
      <c r="G138" s="1">
        <v>132.7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</v>
      </c>
      <c r="N138" s="1">
        <v>122.5</v>
      </c>
      <c r="O138" s="1">
        <v>139.6</v>
      </c>
      <c r="P138" s="1">
        <v>136.3</v>
      </c>
      <c r="Q138" s="1">
        <v>144.3</v>
      </c>
      <c r="R138" s="1">
        <v>129.1</v>
      </c>
      <c r="S138" s="1">
        <v>121.9</v>
      </c>
      <c r="T138" s="1">
        <v>128.0</v>
      </c>
      <c r="U138" s="1">
        <v>128.7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ht="15.75" customHeight="1">
      <c r="A139" s="1" t="s">
        <v>34</v>
      </c>
      <c r="B139" s="1">
        <v>2016.0</v>
      </c>
      <c r="C139" s="1" t="s">
        <v>43</v>
      </c>
      <c r="D139" s="1">
        <v>130.5</v>
      </c>
      <c r="E139" s="1">
        <v>137.9</v>
      </c>
      <c r="F139" s="1">
        <v>130.2</v>
      </c>
      <c r="G139" s="1">
        <v>134.8</v>
      </c>
      <c r="H139" s="1">
        <v>117.8</v>
      </c>
      <c r="I139" s="1">
        <v>134.7</v>
      </c>
      <c r="J139" s="1">
        <v>151.2</v>
      </c>
      <c r="K139" s="1">
        <v>172.1</v>
      </c>
      <c r="L139" s="1">
        <v>114.1</v>
      </c>
      <c r="M139" s="1">
        <v>139.3</v>
      </c>
      <c r="N139" s="1">
        <v>126.1</v>
      </c>
      <c r="O139" s="1">
        <v>141.1</v>
      </c>
      <c r="P139" s="1">
        <v>137.0</v>
      </c>
      <c r="Q139" s="1">
        <v>141.8</v>
      </c>
      <c r="R139" s="1">
        <v>135.5</v>
      </c>
      <c r="S139" s="1">
        <v>129.1</v>
      </c>
      <c r="T139" s="1">
        <v>134.5</v>
      </c>
      <c r="U139" s="1">
        <v>128.7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ht="15.75" customHeight="1">
      <c r="A140" s="1" t="s">
        <v>30</v>
      </c>
      <c r="B140" s="1">
        <v>2016.0</v>
      </c>
      <c r="C140" s="1" t="s">
        <v>45</v>
      </c>
      <c r="D140" s="1">
        <v>132.0</v>
      </c>
      <c r="E140" s="1">
        <v>137.4</v>
      </c>
      <c r="F140" s="1">
        <v>130.6</v>
      </c>
      <c r="G140" s="1">
        <v>136.2</v>
      </c>
      <c r="H140" s="1">
        <v>121.1</v>
      </c>
      <c r="I140" s="1">
        <v>136.9</v>
      </c>
      <c r="J140" s="1">
        <v>141.8</v>
      </c>
      <c r="K140" s="1">
        <v>170.0</v>
      </c>
      <c r="L140" s="1">
        <v>113.4</v>
      </c>
      <c r="M140" s="1">
        <v>136.8</v>
      </c>
      <c r="N140" s="1">
        <v>128.7</v>
      </c>
      <c r="O140" s="1">
        <v>143.1</v>
      </c>
      <c r="P140" s="1">
        <v>136.6</v>
      </c>
      <c r="Q140" s="1">
        <v>141.2</v>
      </c>
      <c r="R140" s="1">
        <v>139.9</v>
      </c>
      <c r="S140" s="1">
        <v>134.5</v>
      </c>
      <c r="T140" s="1">
        <v>139.2</v>
      </c>
      <c r="U140" s="1" t="s">
        <v>32</v>
      </c>
      <c r="V140" s="1">
        <v>130.3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133.7</v>
      </c>
      <c r="AB140" s="1">
        <v>123.5</v>
      </c>
      <c r="AC140" s="1">
        <v>126.1</v>
      </c>
      <c r="AD140" s="1">
        <v>133.6</v>
      </c>
    </row>
    <row r="141" ht="15.75" customHeight="1">
      <c r="A141" s="1" t="s">
        <v>33</v>
      </c>
      <c r="B141" s="1">
        <v>2016.0</v>
      </c>
      <c r="C141" s="1" t="s">
        <v>45</v>
      </c>
      <c r="D141" s="1">
        <v>130.2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</v>
      </c>
      <c r="J141" s="1">
        <v>142.0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</v>
      </c>
      <c r="P141" s="1">
        <v>135.2</v>
      </c>
      <c r="Q141" s="1">
        <v>144.3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ht="15.75" customHeight="1">
      <c r="A142" s="1" t="s">
        <v>34</v>
      </c>
      <c r="B142" s="1">
        <v>2016.0</v>
      </c>
      <c r="C142" s="1" t="s">
        <v>45</v>
      </c>
      <c r="D142" s="1">
        <v>131.4</v>
      </c>
      <c r="E142" s="1">
        <v>137.8</v>
      </c>
      <c r="F142" s="1">
        <v>132.0</v>
      </c>
      <c r="G142" s="1">
        <v>135.0</v>
      </c>
      <c r="H142" s="1">
        <v>118.0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139.7</v>
      </c>
      <c r="N142" s="1">
        <v>126.2</v>
      </c>
      <c r="O142" s="1">
        <v>141.8</v>
      </c>
      <c r="P142" s="1">
        <v>136.1</v>
      </c>
      <c r="Q142" s="1">
        <v>142.0</v>
      </c>
      <c r="R142" s="1">
        <v>135.8</v>
      </c>
      <c r="S142" s="1">
        <v>129.3</v>
      </c>
      <c r="T142" s="1">
        <v>135.0</v>
      </c>
      <c r="U142" s="1">
        <v>129.1</v>
      </c>
      <c r="V142" s="1">
        <v>125.0</v>
      </c>
      <c r="W142" s="1">
        <v>128.6</v>
      </c>
      <c r="X142" s="1">
        <v>126.4</v>
      </c>
      <c r="Y142" s="1">
        <v>115.7</v>
      </c>
      <c r="Z142" s="1">
        <v>124.0</v>
      </c>
      <c r="AA142" s="1">
        <v>132.8</v>
      </c>
      <c r="AB142" s="1">
        <v>122.6</v>
      </c>
      <c r="AC142" s="1">
        <v>123.8</v>
      </c>
      <c r="AD142" s="1">
        <v>131.2</v>
      </c>
    </row>
    <row r="143" ht="15.75" customHeight="1">
      <c r="A143" s="1" t="s">
        <v>30</v>
      </c>
      <c r="B143" s="1">
        <v>2016.0</v>
      </c>
      <c r="C143" s="1" t="s">
        <v>46</v>
      </c>
      <c r="D143" s="1">
        <v>132.6</v>
      </c>
      <c r="E143" s="1">
        <v>137.3</v>
      </c>
      <c r="F143" s="1">
        <v>131.6</v>
      </c>
      <c r="G143" s="1">
        <v>136.3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134.7</v>
      </c>
      <c r="Q143" s="1">
        <v>142.4</v>
      </c>
      <c r="R143" s="1">
        <v>140.4</v>
      </c>
      <c r="S143" s="1">
        <v>135.2</v>
      </c>
      <c r="T143" s="1">
        <v>139.7</v>
      </c>
      <c r="U143" s="1" t="s">
        <v>32</v>
      </c>
      <c r="V143" s="1">
        <v>132.0</v>
      </c>
      <c r="W143" s="1">
        <v>132.9</v>
      </c>
      <c r="X143" s="1">
        <v>129.7</v>
      </c>
      <c r="Y143" s="1">
        <v>118.6</v>
      </c>
      <c r="Z143" s="1">
        <v>127.3</v>
      </c>
      <c r="AA143" s="1">
        <v>134.2</v>
      </c>
      <c r="AB143" s="1">
        <v>121.9</v>
      </c>
      <c r="AC143" s="1">
        <v>126.3</v>
      </c>
      <c r="AD143" s="1">
        <v>132.8</v>
      </c>
    </row>
    <row r="144" ht="15.75" customHeight="1">
      <c r="A144" s="1" t="s">
        <v>33</v>
      </c>
      <c r="B144" s="1">
        <v>2016.0</v>
      </c>
      <c r="C144" s="1" t="s">
        <v>46</v>
      </c>
      <c r="D144" s="1">
        <v>131.6</v>
      </c>
      <c r="E144" s="1">
        <v>138.2</v>
      </c>
      <c r="F144" s="1">
        <v>134.9</v>
      </c>
      <c r="G144" s="1">
        <v>133.1</v>
      </c>
      <c r="H144" s="1">
        <v>113.5</v>
      </c>
      <c r="I144" s="1">
        <v>129.3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</v>
      </c>
      <c r="Q144" s="1">
        <v>145.0</v>
      </c>
      <c r="R144" s="1">
        <v>130.0</v>
      </c>
      <c r="S144" s="1">
        <v>122.2</v>
      </c>
      <c r="T144" s="1">
        <v>128.8</v>
      </c>
      <c r="U144" s="1">
        <v>128.5</v>
      </c>
      <c r="V144" s="1">
        <v>117.8</v>
      </c>
      <c r="W144" s="1">
        <v>125.0</v>
      </c>
      <c r="X144" s="1">
        <v>122.3</v>
      </c>
      <c r="Y144" s="1">
        <v>113.7</v>
      </c>
      <c r="Z144" s="1">
        <v>121.8</v>
      </c>
      <c r="AA144" s="1">
        <v>132.3</v>
      </c>
      <c r="AB144" s="1">
        <v>119.9</v>
      </c>
      <c r="AC144" s="1">
        <v>121.4</v>
      </c>
      <c r="AD144" s="1">
        <v>127.6</v>
      </c>
    </row>
    <row r="145" ht="15.75" customHeight="1">
      <c r="A145" s="1" t="s">
        <v>34</v>
      </c>
      <c r="B145" s="1">
        <v>2016.0</v>
      </c>
      <c r="C145" s="1" t="s">
        <v>46</v>
      </c>
      <c r="D145" s="1">
        <v>132.3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132.7</v>
      </c>
      <c r="J145" s="1">
        <v>125.3</v>
      </c>
      <c r="K145" s="1">
        <v>168.7</v>
      </c>
      <c r="L145" s="1">
        <v>114.4</v>
      </c>
      <c r="M145" s="1">
        <v>140.2</v>
      </c>
      <c r="N145" s="1">
        <v>126.6</v>
      </c>
      <c r="O145" s="1">
        <v>142.3</v>
      </c>
      <c r="P145" s="1">
        <v>134.0</v>
      </c>
      <c r="Q145" s="1">
        <v>143.1</v>
      </c>
      <c r="R145" s="1">
        <v>136.3</v>
      </c>
      <c r="S145" s="1">
        <v>129.8</v>
      </c>
      <c r="T145" s="1">
        <v>135.4</v>
      </c>
      <c r="U145" s="1">
        <v>128.5</v>
      </c>
      <c r="V145" s="1">
        <v>126.6</v>
      </c>
      <c r="W145" s="1">
        <v>129.2</v>
      </c>
      <c r="X145" s="1">
        <v>126.9</v>
      </c>
      <c r="Y145" s="1">
        <v>116.0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ht="15.75" customHeight="1">
      <c r="A146" s="1" t="s">
        <v>30</v>
      </c>
      <c r="B146" s="1">
        <v>2017.0</v>
      </c>
      <c r="C146" s="1" t="s">
        <v>31</v>
      </c>
      <c r="D146" s="1">
        <v>133.1</v>
      </c>
      <c r="E146" s="1">
        <v>137.8</v>
      </c>
      <c r="F146" s="1">
        <v>131.9</v>
      </c>
      <c r="G146" s="1">
        <v>136.7</v>
      </c>
      <c r="H146" s="1">
        <v>122.0</v>
      </c>
      <c r="I146" s="1">
        <v>136.0</v>
      </c>
      <c r="J146" s="1">
        <v>119.8</v>
      </c>
      <c r="K146" s="1">
        <v>161.7</v>
      </c>
      <c r="L146" s="1">
        <v>114.8</v>
      </c>
      <c r="M146" s="1">
        <v>136.9</v>
      </c>
      <c r="N146" s="1">
        <v>129.0</v>
      </c>
      <c r="O146" s="1">
        <v>143.9</v>
      </c>
      <c r="P146" s="1">
        <v>133.7</v>
      </c>
      <c r="Q146" s="1">
        <v>143.1</v>
      </c>
      <c r="R146" s="1">
        <v>140.7</v>
      </c>
      <c r="S146" s="1">
        <v>135.8</v>
      </c>
      <c r="T146" s="1">
        <v>140.0</v>
      </c>
      <c r="U146" s="1" t="s">
        <v>32</v>
      </c>
      <c r="V146" s="1">
        <v>132.1</v>
      </c>
      <c r="W146" s="1">
        <v>133.2</v>
      </c>
      <c r="X146" s="1">
        <v>129.9</v>
      </c>
      <c r="Y146" s="1">
        <v>119.1</v>
      </c>
      <c r="Z146" s="1">
        <v>127.0</v>
      </c>
      <c r="AA146" s="1">
        <v>134.6</v>
      </c>
      <c r="AB146" s="1">
        <v>122.3</v>
      </c>
      <c r="AC146" s="1">
        <v>126.6</v>
      </c>
      <c r="AD146" s="1">
        <v>132.4</v>
      </c>
    </row>
    <row r="147" ht="15.75" customHeight="1">
      <c r="A147" s="1" t="s">
        <v>33</v>
      </c>
      <c r="B147" s="1">
        <v>2017.0</v>
      </c>
      <c r="C147" s="1" t="s">
        <v>31</v>
      </c>
      <c r="D147" s="1">
        <v>132.2</v>
      </c>
      <c r="E147" s="1">
        <v>138.9</v>
      </c>
      <c r="F147" s="1">
        <v>132.6</v>
      </c>
      <c r="G147" s="1">
        <v>133.1</v>
      </c>
      <c r="H147" s="1">
        <v>114.0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132.0</v>
      </c>
      <c r="Q147" s="1">
        <v>145.6</v>
      </c>
      <c r="R147" s="1">
        <v>130.2</v>
      </c>
      <c r="S147" s="1">
        <v>122.3</v>
      </c>
      <c r="T147" s="1">
        <v>129.0</v>
      </c>
      <c r="U147" s="1">
        <v>129.6</v>
      </c>
      <c r="V147" s="1">
        <v>118.0</v>
      </c>
      <c r="W147" s="1">
        <v>125.1</v>
      </c>
      <c r="X147" s="1">
        <v>122.6</v>
      </c>
      <c r="Y147" s="1">
        <v>115.2</v>
      </c>
      <c r="Z147" s="1">
        <v>122.0</v>
      </c>
      <c r="AA147" s="1">
        <v>132.4</v>
      </c>
      <c r="AB147" s="1">
        <v>120.9</v>
      </c>
      <c r="AC147" s="1">
        <v>122.1</v>
      </c>
      <c r="AD147" s="1">
        <v>127.8</v>
      </c>
    </row>
    <row r="148" ht="15.75" customHeight="1">
      <c r="A148" s="1" t="s">
        <v>34</v>
      </c>
      <c r="B148" s="1">
        <v>2017.0</v>
      </c>
      <c r="C148" s="1" t="s">
        <v>31</v>
      </c>
      <c r="D148" s="1">
        <v>132.8</v>
      </c>
      <c r="E148" s="1">
        <v>138.2</v>
      </c>
      <c r="F148" s="1">
        <v>132.2</v>
      </c>
      <c r="G148" s="1">
        <v>135.4</v>
      </c>
      <c r="H148" s="1">
        <v>119.1</v>
      </c>
      <c r="I148" s="1">
        <v>133.0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</v>
      </c>
      <c r="P148" s="1">
        <v>133.1</v>
      </c>
      <c r="Q148" s="1">
        <v>143.8</v>
      </c>
      <c r="R148" s="1">
        <v>136.6</v>
      </c>
      <c r="S148" s="1">
        <v>130.2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117.0</v>
      </c>
      <c r="Z148" s="1">
        <v>124.2</v>
      </c>
      <c r="AA148" s="1">
        <v>133.3</v>
      </c>
      <c r="AB148" s="1">
        <v>121.7</v>
      </c>
      <c r="AC148" s="1">
        <v>124.4</v>
      </c>
      <c r="AD148" s="1">
        <v>130.3</v>
      </c>
    </row>
    <row r="149" ht="15.75" customHeight="1">
      <c r="A149" s="1" t="s">
        <v>30</v>
      </c>
      <c r="B149" s="1">
        <v>2017.0</v>
      </c>
      <c r="C149" s="1" t="s">
        <v>35</v>
      </c>
      <c r="D149" s="1">
        <v>133.3</v>
      </c>
      <c r="E149" s="1">
        <v>138.3</v>
      </c>
      <c r="F149" s="1">
        <v>129.3</v>
      </c>
      <c r="G149" s="1">
        <v>137.2</v>
      </c>
      <c r="H149" s="1">
        <v>122.1</v>
      </c>
      <c r="I149" s="1">
        <v>138.7</v>
      </c>
      <c r="J149" s="1">
        <v>119.1</v>
      </c>
      <c r="K149" s="1">
        <v>156.9</v>
      </c>
      <c r="L149" s="1">
        <v>116.2</v>
      </c>
      <c r="M149" s="1">
        <v>136.0</v>
      </c>
      <c r="N149" s="1">
        <v>129.4</v>
      </c>
      <c r="O149" s="1">
        <v>144.4</v>
      </c>
      <c r="P149" s="1">
        <v>133.6</v>
      </c>
      <c r="Q149" s="1">
        <v>143.7</v>
      </c>
      <c r="R149" s="1">
        <v>140.9</v>
      </c>
      <c r="S149" s="1">
        <v>135.8</v>
      </c>
      <c r="T149" s="1">
        <v>140.2</v>
      </c>
      <c r="U149" s="1" t="s">
        <v>32</v>
      </c>
      <c r="V149" s="1">
        <v>133.2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127.0</v>
      </c>
      <c r="AD149" s="1">
        <v>132.6</v>
      </c>
    </row>
    <row r="150" ht="15.75" customHeight="1">
      <c r="A150" s="1" t="s">
        <v>33</v>
      </c>
      <c r="B150" s="1">
        <v>2017.0</v>
      </c>
      <c r="C150" s="1" t="s">
        <v>35</v>
      </c>
      <c r="D150" s="1">
        <v>132.8</v>
      </c>
      <c r="E150" s="1">
        <v>139.8</v>
      </c>
      <c r="F150" s="1">
        <v>129.3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144.0</v>
      </c>
      <c r="N150" s="1">
        <v>123.4</v>
      </c>
      <c r="O150" s="1">
        <v>141.9</v>
      </c>
      <c r="P150" s="1">
        <v>132.1</v>
      </c>
      <c r="Q150" s="1">
        <v>146.3</v>
      </c>
      <c r="R150" s="1">
        <v>130.5</v>
      </c>
      <c r="S150" s="1">
        <v>122.5</v>
      </c>
      <c r="T150" s="1">
        <v>129.3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128.2</v>
      </c>
    </row>
    <row r="151" ht="15.75" customHeight="1">
      <c r="A151" s="1" t="s">
        <v>34</v>
      </c>
      <c r="B151" s="1">
        <v>2017.0</v>
      </c>
      <c r="C151" s="1" t="s">
        <v>35</v>
      </c>
      <c r="D151" s="1">
        <v>133.1</v>
      </c>
      <c r="E151" s="1">
        <v>138.8</v>
      </c>
      <c r="F151" s="1">
        <v>129.3</v>
      </c>
      <c r="G151" s="1">
        <v>135.8</v>
      </c>
      <c r="H151" s="1">
        <v>119.2</v>
      </c>
      <c r="I151" s="1">
        <v>135.3</v>
      </c>
      <c r="J151" s="1">
        <v>119.5</v>
      </c>
      <c r="K151" s="1">
        <v>152.2</v>
      </c>
      <c r="L151" s="1">
        <v>117.3</v>
      </c>
      <c r="M151" s="1">
        <v>138.7</v>
      </c>
      <c r="N151" s="1">
        <v>126.9</v>
      </c>
      <c r="O151" s="1">
        <v>143.2</v>
      </c>
      <c r="P151" s="1">
        <v>133.0</v>
      </c>
      <c r="Q151" s="1">
        <v>144.4</v>
      </c>
      <c r="R151" s="1">
        <v>136.8</v>
      </c>
      <c r="S151" s="1">
        <v>130.3</v>
      </c>
      <c r="T151" s="1">
        <v>135.9</v>
      </c>
      <c r="U151" s="1">
        <v>130.5</v>
      </c>
      <c r="V151" s="1">
        <v>127.9</v>
      </c>
      <c r="W151" s="1">
        <v>129.7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ht="15.75" customHeight="1">
      <c r="A152" s="1" t="s">
        <v>30</v>
      </c>
      <c r="B152" s="1">
        <v>2017.0</v>
      </c>
      <c r="C152" s="1" t="s">
        <v>36</v>
      </c>
      <c r="D152" s="1">
        <v>133.6</v>
      </c>
      <c r="E152" s="1">
        <v>138.8</v>
      </c>
      <c r="F152" s="1">
        <v>128.8</v>
      </c>
      <c r="G152" s="1">
        <v>137.2</v>
      </c>
      <c r="H152" s="1">
        <v>121.6</v>
      </c>
      <c r="I152" s="1">
        <v>139.7</v>
      </c>
      <c r="J152" s="1">
        <v>119.7</v>
      </c>
      <c r="K152" s="1">
        <v>148.0</v>
      </c>
      <c r="L152" s="1">
        <v>116.9</v>
      </c>
      <c r="M152" s="1">
        <v>135.6</v>
      </c>
      <c r="N152" s="1">
        <v>129.8</v>
      </c>
      <c r="O152" s="1">
        <v>145.4</v>
      </c>
      <c r="P152" s="1">
        <v>133.4</v>
      </c>
      <c r="Q152" s="1">
        <v>144.2</v>
      </c>
      <c r="R152" s="1">
        <v>141.6</v>
      </c>
      <c r="S152" s="1">
        <v>136.2</v>
      </c>
      <c r="T152" s="1">
        <v>140.8</v>
      </c>
      <c r="U152" s="1" t="s">
        <v>32</v>
      </c>
      <c r="V152" s="1">
        <v>134.2</v>
      </c>
      <c r="W152" s="1">
        <v>134.1</v>
      </c>
      <c r="X152" s="1">
        <v>130.6</v>
      </c>
      <c r="Y152" s="1">
        <v>119.8</v>
      </c>
      <c r="Z152" s="1">
        <v>128.3</v>
      </c>
      <c r="AA152" s="1">
        <v>135.2</v>
      </c>
      <c r="AB152" s="1">
        <v>123.3</v>
      </c>
      <c r="AC152" s="1">
        <v>127.4</v>
      </c>
      <c r="AD152" s="1">
        <v>132.8</v>
      </c>
    </row>
    <row r="153" ht="15.75" customHeight="1">
      <c r="A153" s="1" t="s">
        <v>33</v>
      </c>
      <c r="B153" s="1">
        <v>2017.0</v>
      </c>
      <c r="C153" s="1" t="s">
        <v>36</v>
      </c>
      <c r="D153" s="1">
        <v>132.7</v>
      </c>
      <c r="E153" s="1">
        <v>139.4</v>
      </c>
      <c r="F153" s="1">
        <v>128.4</v>
      </c>
      <c r="G153" s="1">
        <v>134.9</v>
      </c>
      <c r="H153" s="1">
        <v>114.0</v>
      </c>
      <c r="I153" s="1">
        <v>136.8</v>
      </c>
      <c r="J153" s="1">
        <v>122.2</v>
      </c>
      <c r="K153" s="1">
        <v>135.8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</v>
      </c>
      <c r="AB153" s="1">
        <v>121.7</v>
      </c>
      <c r="AC153" s="1">
        <v>122.6</v>
      </c>
      <c r="AD153" s="1">
        <v>128.7</v>
      </c>
    </row>
    <row r="154" ht="15.75" customHeight="1">
      <c r="A154" s="1" t="s">
        <v>34</v>
      </c>
      <c r="B154" s="1">
        <v>2017.0</v>
      </c>
      <c r="C154" s="1" t="s">
        <v>36</v>
      </c>
      <c r="D154" s="1">
        <v>133.3</v>
      </c>
      <c r="E154" s="1">
        <v>139.0</v>
      </c>
      <c r="F154" s="1">
        <v>128.6</v>
      </c>
      <c r="G154" s="1">
        <v>136.3</v>
      </c>
      <c r="H154" s="1">
        <v>118.8</v>
      </c>
      <c r="I154" s="1">
        <v>138.3</v>
      </c>
      <c r="J154" s="1">
        <v>120.5</v>
      </c>
      <c r="K154" s="1">
        <v>143.9</v>
      </c>
      <c r="L154" s="1">
        <v>118.0</v>
      </c>
      <c r="M154" s="1">
        <v>137.9</v>
      </c>
      <c r="N154" s="1">
        <v>127.2</v>
      </c>
      <c r="O154" s="1">
        <v>144.0</v>
      </c>
      <c r="P154" s="1">
        <v>133.1</v>
      </c>
      <c r="Q154" s="1">
        <v>145.1</v>
      </c>
      <c r="R154" s="1">
        <v>137.3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125.0</v>
      </c>
      <c r="AA154" s="1">
        <v>133.8</v>
      </c>
      <c r="AB154" s="1">
        <v>122.6</v>
      </c>
      <c r="AC154" s="1">
        <v>125.1</v>
      </c>
      <c r="AD154" s="1">
        <v>130.9</v>
      </c>
    </row>
    <row r="155" ht="15.75" customHeight="1">
      <c r="A155" s="1" t="s">
        <v>30</v>
      </c>
      <c r="B155" s="1">
        <v>2017.0</v>
      </c>
      <c r="C155" s="1" t="s">
        <v>37</v>
      </c>
      <c r="D155" s="1">
        <v>133.2</v>
      </c>
      <c r="E155" s="1">
        <v>138.7</v>
      </c>
      <c r="F155" s="1">
        <v>127.1</v>
      </c>
      <c r="G155" s="1">
        <v>137.7</v>
      </c>
      <c r="H155" s="1">
        <v>121.3</v>
      </c>
      <c r="I155" s="1">
        <v>141.8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130.0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</v>
      </c>
      <c r="T155" s="1">
        <v>141.6</v>
      </c>
      <c r="U155" s="1" t="s">
        <v>32</v>
      </c>
      <c r="V155" s="1">
        <v>135.0</v>
      </c>
      <c r="W155" s="1">
        <v>134.3</v>
      </c>
      <c r="X155" s="1">
        <v>131.0</v>
      </c>
      <c r="Y155" s="1">
        <v>119.2</v>
      </c>
      <c r="Z155" s="1">
        <v>128.3</v>
      </c>
      <c r="AA155" s="1">
        <v>135.7</v>
      </c>
      <c r="AB155" s="1">
        <v>123.7</v>
      </c>
      <c r="AC155" s="1">
        <v>127.5</v>
      </c>
      <c r="AD155" s="1">
        <v>132.9</v>
      </c>
    </row>
    <row r="156" ht="15.75" customHeight="1">
      <c r="A156" s="1" t="s">
        <v>33</v>
      </c>
      <c r="B156" s="1">
        <v>2017.0</v>
      </c>
      <c r="C156" s="1" t="s">
        <v>37</v>
      </c>
      <c r="D156" s="1">
        <v>132.7</v>
      </c>
      <c r="E156" s="1">
        <v>140.6</v>
      </c>
      <c r="F156" s="1">
        <v>124.5</v>
      </c>
      <c r="G156" s="1">
        <v>136.3</v>
      </c>
      <c r="H156" s="1">
        <v>113.5</v>
      </c>
      <c r="I156" s="1">
        <v>137.7</v>
      </c>
      <c r="J156" s="1">
        <v>127.1</v>
      </c>
      <c r="K156" s="1">
        <v>133.8</v>
      </c>
      <c r="L156" s="1">
        <v>120.8</v>
      </c>
      <c r="M156" s="1">
        <v>141.3</v>
      </c>
      <c r="N156" s="1">
        <v>123.8</v>
      </c>
      <c r="O156" s="1">
        <v>142.6</v>
      </c>
      <c r="P156" s="1">
        <v>133.4</v>
      </c>
      <c r="Q156" s="1">
        <v>148.0</v>
      </c>
      <c r="R156" s="1">
        <v>131.2</v>
      </c>
      <c r="S156" s="1">
        <v>123.0</v>
      </c>
      <c r="T156" s="1">
        <v>130.0</v>
      </c>
      <c r="U156" s="1">
        <v>131.7</v>
      </c>
      <c r="V156" s="1">
        <v>121.4</v>
      </c>
      <c r="W156" s="1">
        <v>126.0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ht="15.75" customHeight="1">
      <c r="A157" s="1" t="s">
        <v>34</v>
      </c>
      <c r="B157" s="1">
        <v>2017.0</v>
      </c>
      <c r="C157" s="1" t="s">
        <v>37</v>
      </c>
      <c r="D157" s="1">
        <v>133.0</v>
      </c>
      <c r="E157" s="1">
        <v>139.4</v>
      </c>
      <c r="F157" s="1">
        <v>126.1</v>
      </c>
      <c r="G157" s="1">
        <v>137.2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144.2</v>
      </c>
      <c r="P157" s="1">
        <v>133.5</v>
      </c>
      <c r="Q157" s="1">
        <v>145.4</v>
      </c>
      <c r="R157" s="1">
        <v>138.0</v>
      </c>
      <c r="S157" s="1">
        <v>131.1</v>
      </c>
      <c r="T157" s="1">
        <v>137.0</v>
      </c>
      <c r="U157" s="1">
        <v>131.7</v>
      </c>
      <c r="V157" s="1">
        <v>129.8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ht="15.75" customHeight="1">
      <c r="A158" s="1" t="s">
        <v>30</v>
      </c>
      <c r="B158" s="1">
        <v>2017.0</v>
      </c>
      <c r="C158" s="1" t="s">
        <v>38</v>
      </c>
      <c r="D158" s="1">
        <v>133.1</v>
      </c>
      <c r="E158" s="1">
        <v>140.3</v>
      </c>
      <c r="F158" s="1">
        <v>126.8</v>
      </c>
      <c r="G158" s="1">
        <v>138.2</v>
      </c>
      <c r="H158" s="1">
        <v>120.8</v>
      </c>
      <c r="I158" s="1">
        <v>140.2</v>
      </c>
      <c r="J158" s="1">
        <v>123.8</v>
      </c>
      <c r="K158" s="1">
        <v>141.8</v>
      </c>
      <c r="L158" s="1">
        <v>118.6</v>
      </c>
      <c r="M158" s="1">
        <v>134.0</v>
      </c>
      <c r="N158" s="1">
        <v>130.3</v>
      </c>
      <c r="O158" s="1">
        <v>145.8</v>
      </c>
      <c r="P158" s="1">
        <v>133.8</v>
      </c>
      <c r="Q158" s="1">
        <v>145.5</v>
      </c>
      <c r="R158" s="1">
        <v>142.5</v>
      </c>
      <c r="S158" s="1">
        <v>137.3</v>
      </c>
      <c r="T158" s="1">
        <v>141.8</v>
      </c>
      <c r="U158" s="1" t="s">
        <v>32</v>
      </c>
      <c r="V158" s="1">
        <v>135.0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</v>
      </c>
      <c r="AB158" s="1">
        <v>123.7</v>
      </c>
      <c r="AC158" s="1">
        <v>127.9</v>
      </c>
      <c r="AD158" s="1">
        <v>133.3</v>
      </c>
    </row>
    <row r="159" ht="15.75" customHeight="1">
      <c r="A159" s="1" t="s">
        <v>33</v>
      </c>
      <c r="B159" s="1">
        <v>2017.0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</v>
      </c>
      <c r="H159" s="1">
        <v>113.4</v>
      </c>
      <c r="I159" s="1">
        <v>135.2</v>
      </c>
      <c r="J159" s="1">
        <v>129.2</v>
      </c>
      <c r="K159" s="1">
        <v>131.5</v>
      </c>
      <c r="L159" s="1">
        <v>121.0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</v>
      </c>
      <c r="R159" s="1">
        <v>131.5</v>
      </c>
      <c r="S159" s="1">
        <v>123.2</v>
      </c>
      <c r="T159" s="1">
        <v>130.2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</v>
      </c>
      <c r="AB159" s="1">
        <v>122.0</v>
      </c>
      <c r="AC159" s="1">
        <v>122.6</v>
      </c>
      <c r="AD159" s="1">
        <v>129.3</v>
      </c>
    </row>
    <row r="160" ht="15.75" customHeight="1">
      <c r="A160" s="1" t="s">
        <v>34</v>
      </c>
      <c r="B160" s="1">
        <v>2017.0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137.7</v>
      </c>
      <c r="H160" s="1">
        <v>118.1</v>
      </c>
      <c r="I160" s="1">
        <v>137.9</v>
      </c>
      <c r="J160" s="1">
        <v>125.6</v>
      </c>
      <c r="K160" s="1">
        <v>138.3</v>
      </c>
      <c r="L160" s="1">
        <v>119.4</v>
      </c>
      <c r="M160" s="1">
        <v>136.0</v>
      </c>
      <c r="N160" s="1">
        <v>127.6</v>
      </c>
      <c r="O160" s="1">
        <v>144.5</v>
      </c>
      <c r="P160" s="1">
        <v>133.7</v>
      </c>
      <c r="Q160" s="1">
        <v>146.2</v>
      </c>
      <c r="R160" s="1">
        <v>138.2</v>
      </c>
      <c r="S160" s="1">
        <v>131.4</v>
      </c>
      <c r="T160" s="1">
        <v>137.2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</v>
      </c>
      <c r="AB160" s="1">
        <v>123.0</v>
      </c>
      <c r="AC160" s="1">
        <v>125.3</v>
      </c>
      <c r="AD160" s="1">
        <v>131.4</v>
      </c>
    </row>
    <row r="161" ht="15.75" customHeight="1">
      <c r="A161" s="1" t="s">
        <v>30</v>
      </c>
      <c r="B161" s="1">
        <v>2017.0</v>
      </c>
      <c r="C161" s="1" t="s">
        <v>39</v>
      </c>
      <c r="D161" s="1">
        <v>133.5</v>
      </c>
      <c r="E161" s="1">
        <v>143.7</v>
      </c>
      <c r="F161" s="1">
        <v>128.0</v>
      </c>
      <c r="G161" s="1">
        <v>138.6</v>
      </c>
      <c r="H161" s="1">
        <v>120.9</v>
      </c>
      <c r="I161" s="1">
        <v>140.9</v>
      </c>
      <c r="J161" s="1">
        <v>128.8</v>
      </c>
      <c r="K161" s="1">
        <v>140.2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</v>
      </c>
      <c r="R161" s="1">
        <v>143.1</v>
      </c>
      <c r="S161" s="1">
        <v>137.7</v>
      </c>
      <c r="T161" s="1">
        <v>142.3</v>
      </c>
      <c r="U161" s="1" t="s">
        <v>32</v>
      </c>
      <c r="V161" s="1">
        <v>134.8</v>
      </c>
      <c r="W161" s="1">
        <v>135.2</v>
      </c>
      <c r="X161" s="1">
        <v>131.3</v>
      </c>
      <c r="Y161" s="1">
        <v>119.4</v>
      </c>
      <c r="Z161" s="1">
        <v>129.8</v>
      </c>
      <c r="AA161" s="1">
        <v>136.9</v>
      </c>
      <c r="AB161" s="1">
        <v>124.1</v>
      </c>
      <c r="AC161" s="1">
        <v>128.1</v>
      </c>
      <c r="AD161" s="1">
        <v>133.9</v>
      </c>
    </row>
    <row r="162" ht="15.75" customHeight="1">
      <c r="A162" s="1" t="s">
        <v>33</v>
      </c>
      <c r="B162" s="1">
        <v>2017.0</v>
      </c>
      <c r="C162" s="1" t="s">
        <v>39</v>
      </c>
      <c r="D162" s="1">
        <v>132.9</v>
      </c>
      <c r="E162" s="1">
        <v>148.7</v>
      </c>
      <c r="F162" s="1">
        <v>128.3</v>
      </c>
      <c r="G162" s="1">
        <v>137.3</v>
      </c>
      <c r="H162" s="1">
        <v>113.5</v>
      </c>
      <c r="I162" s="1">
        <v>137.2</v>
      </c>
      <c r="J162" s="1">
        <v>142.2</v>
      </c>
      <c r="K162" s="1">
        <v>128.2</v>
      </c>
      <c r="L162" s="1">
        <v>120.9</v>
      </c>
      <c r="M162" s="1">
        <v>138.8</v>
      </c>
      <c r="N162" s="1">
        <v>124.2</v>
      </c>
      <c r="O162" s="1">
        <v>143.1</v>
      </c>
      <c r="P162" s="1">
        <v>135.7</v>
      </c>
      <c r="Q162" s="1">
        <v>148.6</v>
      </c>
      <c r="R162" s="1">
        <v>131.5</v>
      </c>
      <c r="S162" s="1">
        <v>123.2</v>
      </c>
      <c r="T162" s="1">
        <v>130.2</v>
      </c>
      <c r="U162" s="1">
        <v>131.4</v>
      </c>
      <c r="V162" s="1">
        <v>119.0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</v>
      </c>
      <c r="AB162" s="1">
        <v>122.5</v>
      </c>
      <c r="AC162" s="1">
        <v>122.7</v>
      </c>
      <c r="AD162" s="1">
        <v>129.9</v>
      </c>
    </row>
    <row r="163" ht="15.75" customHeight="1">
      <c r="A163" s="1" t="s">
        <v>34</v>
      </c>
      <c r="B163" s="1">
        <v>2017.0</v>
      </c>
      <c r="C163" s="1" t="s">
        <v>39</v>
      </c>
      <c r="D163" s="1">
        <v>133.3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139.2</v>
      </c>
      <c r="J163" s="1">
        <v>133.3</v>
      </c>
      <c r="K163" s="1">
        <v>136.2</v>
      </c>
      <c r="L163" s="1">
        <v>119.6</v>
      </c>
      <c r="M163" s="1">
        <v>135.3</v>
      </c>
      <c r="N163" s="1">
        <v>127.8</v>
      </c>
      <c r="O163" s="1">
        <v>144.9</v>
      </c>
      <c r="P163" s="1">
        <v>135.2</v>
      </c>
      <c r="Q163" s="1">
        <v>146.5</v>
      </c>
      <c r="R163" s="1">
        <v>138.5</v>
      </c>
      <c r="S163" s="1">
        <v>131.7</v>
      </c>
      <c r="T163" s="1">
        <v>137.5</v>
      </c>
      <c r="U163" s="1">
        <v>131.4</v>
      </c>
      <c r="V163" s="1">
        <v>128.8</v>
      </c>
      <c r="W163" s="1">
        <v>131.2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132.0</v>
      </c>
    </row>
    <row r="164" ht="15.75" customHeight="1">
      <c r="A164" s="1" t="s">
        <v>30</v>
      </c>
      <c r="B164" s="1">
        <v>2017.0</v>
      </c>
      <c r="C164" s="1" t="s">
        <v>40</v>
      </c>
      <c r="D164" s="1">
        <v>134.0</v>
      </c>
      <c r="E164" s="1">
        <v>144.2</v>
      </c>
      <c r="F164" s="1">
        <v>129.8</v>
      </c>
      <c r="G164" s="1">
        <v>139.0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120.0</v>
      </c>
      <c r="M164" s="1">
        <v>133.9</v>
      </c>
      <c r="N164" s="1">
        <v>131.4</v>
      </c>
      <c r="O164" s="1">
        <v>147.7</v>
      </c>
      <c r="P164" s="1">
        <v>138.5</v>
      </c>
      <c r="Q164" s="1">
        <v>147.4</v>
      </c>
      <c r="R164" s="1">
        <v>144.3</v>
      </c>
      <c r="S164" s="1">
        <v>138.1</v>
      </c>
      <c r="T164" s="1">
        <v>143.5</v>
      </c>
      <c r="U164" s="1" t="s">
        <v>32</v>
      </c>
      <c r="V164" s="1">
        <v>135.3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136.2</v>
      </c>
    </row>
    <row r="165" ht="15.75" customHeight="1">
      <c r="A165" s="1" t="s">
        <v>33</v>
      </c>
      <c r="B165" s="1">
        <v>2017.0</v>
      </c>
      <c r="C165" s="1" t="s">
        <v>40</v>
      </c>
      <c r="D165" s="1">
        <v>132.8</v>
      </c>
      <c r="E165" s="1">
        <v>148.4</v>
      </c>
      <c r="F165" s="1">
        <v>129.4</v>
      </c>
      <c r="G165" s="1">
        <v>137.7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</v>
      </c>
      <c r="N165" s="1">
        <v>124.4</v>
      </c>
      <c r="O165" s="1">
        <v>143.7</v>
      </c>
      <c r="P165" s="1">
        <v>139.8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125.0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123.0</v>
      </c>
      <c r="AD165" s="1">
        <v>131.8</v>
      </c>
    </row>
    <row r="166" ht="15.75" customHeight="1">
      <c r="A166" s="1" t="s">
        <v>34</v>
      </c>
      <c r="B166" s="1">
        <v>2017.0</v>
      </c>
      <c r="C166" s="1" t="s">
        <v>40</v>
      </c>
      <c r="D166" s="1">
        <v>133.6</v>
      </c>
      <c r="E166" s="1">
        <v>145.7</v>
      </c>
      <c r="F166" s="1">
        <v>129.6</v>
      </c>
      <c r="G166" s="1">
        <v>138.5</v>
      </c>
      <c r="H166" s="1">
        <v>118.1</v>
      </c>
      <c r="I166" s="1">
        <v>141.8</v>
      </c>
      <c r="J166" s="1">
        <v>159.5</v>
      </c>
      <c r="K166" s="1">
        <v>133.6</v>
      </c>
      <c r="L166" s="1">
        <v>120.5</v>
      </c>
      <c r="M166" s="1">
        <v>135.2</v>
      </c>
      <c r="N166" s="1">
        <v>128.5</v>
      </c>
      <c r="O166" s="1">
        <v>145.8</v>
      </c>
      <c r="P166" s="1">
        <v>139.0</v>
      </c>
      <c r="Q166" s="1">
        <v>148.2</v>
      </c>
      <c r="R166" s="1">
        <v>139.3</v>
      </c>
      <c r="S166" s="1">
        <v>132.1</v>
      </c>
      <c r="T166" s="1">
        <v>138.3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116.0</v>
      </c>
      <c r="Z166" s="1">
        <v>126.6</v>
      </c>
      <c r="AA166" s="1">
        <v>136.8</v>
      </c>
      <c r="AB166" s="1">
        <v>123.6</v>
      </c>
      <c r="AC166" s="1">
        <v>125.9</v>
      </c>
      <c r="AD166" s="1">
        <v>134.2</v>
      </c>
    </row>
    <row r="167" ht="15.75" customHeight="1">
      <c r="A167" s="1" t="s">
        <v>30</v>
      </c>
      <c r="B167" s="1">
        <v>2017.0</v>
      </c>
      <c r="C167" s="1" t="s">
        <v>41</v>
      </c>
      <c r="D167" s="1">
        <v>134.8</v>
      </c>
      <c r="E167" s="1">
        <v>143.1</v>
      </c>
      <c r="F167" s="1">
        <v>130.0</v>
      </c>
      <c r="G167" s="1">
        <v>139.4</v>
      </c>
      <c r="H167" s="1">
        <v>120.5</v>
      </c>
      <c r="I167" s="1">
        <v>148.0</v>
      </c>
      <c r="J167" s="1">
        <v>162.9</v>
      </c>
      <c r="K167" s="1">
        <v>137.4</v>
      </c>
      <c r="L167" s="1">
        <v>120.8</v>
      </c>
      <c r="M167" s="1">
        <v>134.7</v>
      </c>
      <c r="N167" s="1">
        <v>131.6</v>
      </c>
      <c r="O167" s="1">
        <v>148.7</v>
      </c>
      <c r="P167" s="1">
        <v>140.6</v>
      </c>
      <c r="Q167" s="1">
        <v>149.0</v>
      </c>
      <c r="R167" s="1">
        <v>145.3</v>
      </c>
      <c r="S167" s="1">
        <v>139.2</v>
      </c>
      <c r="T167" s="1">
        <v>144.5</v>
      </c>
      <c r="U167" s="1" t="s">
        <v>32</v>
      </c>
      <c r="V167" s="1">
        <v>136.4</v>
      </c>
      <c r="W167" s="1">
        <v>137.3</v>
      </c>
      <c r="X167" s="1">
        <v>133.0</v>
      </c>
      <c r="Y167" s="1">
        <v>120.3</v>
      </c>
      <c r="Z167" s="1">
        <v>131.5</v>
      </c>
      <c r="AA167" s="1">
        <v>140.2</v>
      </c>
      <c r="AB167" s="1">
        <v>125.4</v>
      </c>
      <c r="AC167" s="1">
        <v>129.7</v>
      </c>
      <c r="AD167" s="1">
        <v>137.8</v>
      </c>
    </row>
    <row r="168" ht="15.75" customHeight="1">
      <c r="A168" s="1" t="s">
        <v>33</v>
      </c>
      <c r="B168" s="1">
        <v>2017.0</v>
      </c>
      <c r="C168" s="1" t="s">
        <v>41</v>
      </c>
      <c r="D168" s="1">
        <v>133.2</v>
      </c>
      <c r="E168" s="1">
        <v>143.9</v>
      </c>
      <c r="F168" s="1">
        <v>128.3</v>
      </c>
      <c r="G168" s="1">
        <v>138.3</v>
      </c>
      <c r="H168" s="1">
        <v>114.1</v>
      </c>
      <c r="I168" s="1">
        <v>142.7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132.7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135.7</v>
      </c>
      <c r="AB168" s="1">
        <v>123.3</v>
      </c>
      <c r="AC168" s="1">
        <v>123.8</v>
      </c>
      <c r="AD168" s="1">
        <v>132.7</v>
      </c>
    </row>
    <row r="169" ht="15.75" customHeight="1">
      <c r="A169" s="1" t="s">
        <v>34</v>
      </c>
      <c r="B169" s="1">
        <v>2017.0</v>
      </c>
      <c r="C169" s="1" t="s">
        <v>41</v>
      </c>
      <c r="D169" s="1">
        <v>134.3</v>
      </c>
      <c r="E169" s="1">
        <v>143.4</v>
      </c>
      <c r="F169" s="1">
        <v>129.3</v>
      </c>
      <c r="G169" s="1">
        <v>139.0</v>
      </c>
      <c r="H169" s="1">
        <v>118.1</v>
      </c>
      <c r="I169" s="1">
        <v>145.5</v>
      </c>
      <c r="J169" s="1">
        <v>168.6</v>
      </c>
      <c r="K169" s="1">
        <v>132.7</v>
      </c>
      <c r="L169" s="1">
        <v>121.2</v>
      </c>
      <c r="M169" s="1">
        <v>135.6</v>
      </c>
      <c r="N169" s="1">
        <v>128.7</v>
      </c>
      <c r="O169" s="1">
        <v>146.8</v>
      </c>
      <c r="P169" s="1">
        <v>140.6</v>
      </c>
      <c r="Q169" s="1">
        <v>149.8</v>
      </c>
      <c r="R169" s="1">
        <v>140.3</v>
      </c>
      <c r="S169" s="1">
        <v>133.0</v>
      </c>
      <c r="T169" s="1">
        <v>139.3</v>
      </c>
      <c r="U169" s="1">
        <v>134.4</v>
      </c>
      <c r="V169" s="1">
        <v>129.8</v>
      </c>
      <c r="W169" s="1">
        <v>132.8</v>
      </c>
      <c r="X169" s="1">
        <v>130.2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ht="15.75" customHeight="1">
      <c r="A170" s="1" t="s">
        <v>30</v>
      </c>
      <c r="B170" s="1">
        <v>2017.0</v>
      </c>
      <c r="C170" s="1" t="s">
        <v>42</v>
      </c>
      <c r="D170" s="1">
        <v>135.2</v>
      </c>
      <c r="E170" s="1">
        <v>142.0</v>
      </c>
      <c r="F170" s="1">
        <v>130.5</v>
      </c>
      <c r="G170" s="1">
        <v>140.2</v>
      </c>
      <c r="H170" s="1">
        <v>120.7</v>
      </c>
      <c r="I170" s="1">
        <v>147.8</v>
      </c>
      <c r="J170" s="1">
        <v>154.5</v>
      </c>
      <c r="K170" s="1">
        <v>137.1</v>
      </c>
      <c r="L170" s="1">
        <v>121.0</v>
      </c>
      <c r="M170" s="1">
        <v>134.7</v>
      </c>
      <c r="N170" s="1">
        <v>131.7</v>
      </c>
      <c r="O170" s="1">
        <v>149.3</v>
      </c>
      <c r="P170" s="1">
        <v>139.6</v>
      </c>
      <c r="Q170" s="1">
        <v>149.8</v>
      </c>
      <c r="R170" s="1">
        <v>146.1</v>
      </c>
      <c r="S170" s="1">
        <v>139.7</v>
      </c>
      <c r="T170" s="1">
        <v>145.2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</v>
      </c>
      <c r="AA170" s="1">
        <v>139.6</v>
      </c>
      <c r="AB170" s="1">
        <v>126.7</v>
      </c>
      <c r="AC170" s="1">
        <v>130.3</v>
      </c>
      <c r="AD170" s="1">
        <v>137.6</v>
      </c>
    </row>
    <row r="171" ht="15.75" customHeight="1">
      <c r="A171" s="1" t="s">
        <v>33</v>
      </c>
      <c r="B171" s="1">
        <v>2017.0</v>
      </c>
      <c r="C171" s="1" t="s">
        <v>42</v>
      </c>
      <c r="D171" s="1">
        <v>133.6</v>
      </c>
      <c r="E171" s="1">
        <v>143.0</v>
      </c>
      <c r="F171" s="1">
        <v>129.7</v>
      </c>
      <c r="G171" s="1">
        <v>138.7</v>
      </c>
      <c r="H171" s="1">
        <v>114.5</v>
      </c>
      <c r="I171" s="1">
        <v>137.5</v>
      </c>
      <c r="J171" s="1">
        <v>160.7</v>
      </c>
      <c r="K171" s="1">
        <v>124.5</v>
      </c>
      <c r="L171" s="1">
        <v>122.4</v>
      </c>
      <c r="M171" s="1">
        <v>137.3</v>
      </c>
      <c r="N171" s="1">
        <v>124.8</v>
      </c>
      <c r="O171" s="1">
        <v>145.0</v>
      </c>
      <c r="P171" s="1">
        <v>138.0</v>
      </c>
      <c r="Q171" s="1">
        <v>153.6</v>
      </c>
      <c r="R171" s="1">
        <v>133.3</v>
      </c>
      <c r="S171" s="1">
        <v>124.6</v>
      </c>
      <c r="T171" s="1">
        <v>132.0</v>
      </c>
      <c r="U171" s="1">
        <v>135.7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ht="15.75" customHeight="1">
      <c r="A172" s="1" t="s">
        <v>34</v>
      </c>
      <c r="B172" s="1">
        <v>2017.0</v>
      </c>
      <c r="C172" s="1" t="s">
        <v>42</v>
      </c>
      <c r="D172" s="1">
        <v>134.7</v>
      </c>
      <c r="E172" s="1">
        <v>142.4</v>
      </c>
      <c r="F172" s="1">
        <v>130.2</v>
      </c>
      <c r="G172" s="1">
        <v>139.6</v>
      </c>
      <c r="H172" s="1">
        <v>118.4</v>
      </c>
      <c r="I172" s="1">
        <v>143.0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</v>
      </c>
      <c r="O172" s="1">
        <v>147.3</v>
      </c>
      <c r="P172" s="1">
        <v>139.0</v>
      </c>
      <c r="Q172" s="1">
        <v>150.8</v>
      </c>
      <c r="R172" s="1">
        <v>141.1</v>
      </c>
      <c r="S172" s="1">
        <v>133.4</v>
      </c>
      <c r="T172" s="1">
        <v>140.0</v>
      </c>
      <c r="U172" s="1">
        <v>135.7</v>
      </c>
      <c r="V172" s="1">
        <v>131.0</v>
      </c>
      <c r="W172" s="1">
        <v>133.3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135.2</v>
      </c>
    </row>
    <row r="173" ht="15.75" customHeight="1">
      <c r="A173" s="1" t="s">
        <v>30</v>
      </c>
      <c r="B173" s="1">
        <v>2017.0</v>
      </c>
      <c r="C173" s="1" t="s">
        <v>43</v>
      </c>
      <c r="D173" s="1">
        <v>135.9</v>
      </c>
      <c r="E173" s="1">
        <v>141.9</v>
      </c>
      <c r="F173" s="1">
        <v>131.0</v>
      </c>
      <c r="G173" s="1">
        <v>141.5</v>
      </c>
      <c r="H173" s="1">
        <v>121.4</v>
      </c>
      <c r="I173" s="1">
        <v>146.7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</v>
      </c>
      <c r="O173" s="1">
        <v>150.3</v>
      </c>
      <c r="P173" s="1">
        <v>140.4</v>
      </c>
      <c r="Q173" s="1">
        <v>150.5</v>
      </c>
      <c r="R173" s="1">
        <v>147.2</v>
      </c>
      <c r="S173" s="1">
        <v>140.6</v>
      </c>
      <c r="T173" s="1">
        <v>146.2</v>
      </c>
      <c r="U173" s="1" t="s">
        <v>32</v>
      </c>
      <c r="V173" s="1">
        <v>138.1</v>
      </c>
      <c r="W173" s="1">
        <v>138.4</v>
      </c>
      <c r="X173" s="1">
        <v>134.2</v>
      </c>
      <c r="Y173" s="1">
        <v>121.0</v>
      </c>
      <c r="Z173" s="1">
        <v>133.0</v>
      </c>
      <c r="AA173" s="1">
        <v>140.1</v>
      </c>
      <c r="AB173" s="1">
        <v>127.4</v>
      </c>
      <c r="AC173" s="1">
        <v>130.7</v>
      </c>
      <c r="AD173" s="1">
        <v>138.3</v>
      </c>
    </row>
    <row r="174" ht="15.75" customHeight="1">
      <c r="A174" s="1" t="s">
        <v>33</v>
      </c>
      <c r="B174" s="1">
        <v>2017.0</v>
      </c>
      <c r="C174" s="1" t="s">
        <v>43</v>
      </c>
      <c r="D174" s="1">
        <v>133.9</v>
      </c>
      <c r="E174" s="1">
        <v>142.8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</v>
      </c>
      <c r="N174" s="1">
        <v>125.1</v>
      </c>
      <c r="O174" s="1">
        <v>145.5</v>
      </c>
      <c r="P174" s="1">
        <v>139.7</v>
      </c>
      <c r="Q174" s="1">
        <v>154.6</v>
      </c>
      <c r="R174" s="1">
        <v>134.0</v>
      </c>
      <c r="S174" s="1">
        <v>124.9</v>
      </c>
      <c r="T174" s="1">
        <v>132.6</v>
      </c>
      <c r="U174" s="1">
        <v>137.3</v>
      </c>
      <c r="V174" s="1">
        <v>122.6</v>
      </c>
      <c r="W174" s="1">
        <v>128.3</v>
      </c>
      <c r="X174" s="1">
        <v>126.6</v>
      </c>
      <c r="Y174" s="1">
        <v>115.0</v>
      </c>
      <c r="Z174" s="1">
        <v>124.8</v>
      </c>
      <c r="AA174" s="1">
        <v>136.3</v>
      </c>
      <c r="AB174" s="1">
        <v>124.6</v>
      </c>
      <c r="AC174" s="1">
        <v>124.5</v>
      </c>
      <c r="AD174" s="1">
        <v>133.5</v>
      </c>
    </row>
    <row r="175" ht="15.75" customHeight="1">
      <c r="A175" s="1" t="s">
        <v>34</v>
      </c>
      <c r="B175" s="1">
        <v>2017.0</v>
      </c>
      <c r="C175" s="1" t="s">
        <v>43</v>
      </c>
      <c r="D175" s="1">
        <v>135.3</v>
      </c>
      <c r="E175" s="1">
        <v>142.2</v>
      </c>
      <c r="F175" s="1">
        <v>131.2</v>
      </c>
      <c r="G175" s="1">
        <v>140.6</v>
      </c>
      <c r="H175" s="1">
        <v>119.0</v>
      </c>
      <c r="I175" s="1">
        <v>141.5</v>
      </c>
      <c r="J175" s="1">
        <v>162.6</v>
      </c>
      <c r="K175" s="1">
        <v>132.3</v>
      </c>
      <c r="L175" s="1">
        <v>121.8</v>
      </c>
      <c r="M175" s="1">
        <v>136.3</v>
      </c>
      <c r="N175" s="1">
        <v>128.7</v>
      </c>
      <c r="O175" s="1">
        <v>148.1</v>
      </c>
      <c r="P175" s="1">
        <v>140.1</v>
      </c>
      <c r="Q175" s="1">
        <v>151.6</v>
      </c>
      <c r="R175" s="1">
        <v>142.0</v>
      </c>
      <c r="S175" s="1">
        <v>134.1</v>
      </c>
      <c r="T175" s="1">
        <v>140.8</v>
      </c>
      <c r="U175" s="1">
        <v>137.3</v>
      </c>
      <c r="V175" s="1">
        <v>132.2</v>
      </c>
      <c r="W175" s="1">
        <v>133.6</v>
      </c>
      <c r="X175" s="1">
        <v>131.3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ht="15.75" customHeight="1">
      <c r="A176" s="1" t="s">
        <v>30</v>
      </c>
      <c r="B176" s="1">
        <v>2017.0</v>
      </c>
      <c r="C176" s="1" t="s">
        <v>45</v>
      </c>
      <c r="D176" s="1">
        <v>136.3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</v>
      </c>
      <c r="J176" s="1">
        <v>168.0</v>
      </c>
      <c r="K176" s="1">
        <v>135.8</v>
      </c>
      <c r="L176" s="1">
        <v>122.5</v>
      </c>
      <c r="M176" s="1">
        <v>136.0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148.2</v>
      </c>
      <c r="S176" s="1">
        <v>141.5</v>
      </c>
      <c r="T176" s="1">
        <v>147.3</v>
      </c>
      <c r="U176" s="1" t="s">
        <v>32</v>
      </c>
      <c r="V176" s="1">
        <v>141.1</v>
      </c>
      <c r="W176" s="1">
        <v>139.4</v>
      </c>
      <c r="X176" s="1">
        <v>135.8</v>
      </c>
      <c r="Y176" s="1">
        <v>121.6</v>
      </c>
      <c r="Z176" s="1">
        <v>133.7</v>
      </c>
      <c r="AA176" s="1">
        <v>141.5</v>
      </c>
      <c r="AB176" s="1">
        <v>128.1</v>
      </c>
      <c r="AC176" s="1">
        <v>131.7</v>
      </c>
      <c r="AD176" s="1">
        <v>140.0</v>
      </c>
    </row>
    <row r="177" ht="15.75" customHeight="1">
      <c r="A177" s="1" t="s">
        <v>33</v>
      </c>
      <c r="B177" s="1">
        <v>2017.0</v>
      </c>
      <c r="C177" s="1" t="s">
        <v>45</v>
      </c>
      <c r="D177" s="1">
        <v>134.3</v>
      </c>
      <c r="E177" s="1">
        <v>142.1</v>
      </c>
      <c r="F177" s="1">
        <v>146.7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</v>
      </c>
      <c r="N177" s="1">
        <v>125.4</v>
      </c>
      <c r="O177" s="1">
        <v>146.0</v>
      </c>
      <c r="P177" s="1">
        <v>141.5</v>
      </c>
      <c r="Q177" s="1">
        <v>156.2</v>
      </c>
      <c r="R177" s="1">
        <v>135.0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</v>
      </c>
    </row>
    <row r="178" ht="15.75" customHeight="1">
      <c r="A178" s="1" t="s">
        <v>34</v>
      </c>
      <c r="B178" s="1">
        <v>2017.0</v>
      </c>
      <c r="C178" s="1" t="s">
        <v>45</v>
      </c>
      <c r="D178" s="1">
        <v>135.7</v>
      </c>
      <c r="E178" s="1">
        <v>142.4</v>
      </c>
      <c r="F178" s="1">
        <v>142.9</v>
      </c>
      <c r="G178" s="1">
        <v>140.8</v>
      </c>
      <c r="H178" s="1">
        <v>119.2</v>
      </c>
      <c r="I178" s="1">
        <v>142.2</v>
      </c>
      <c r="J178" s="1">
        <v>173.8</v>
      </c>
      <c r="K178" s="1">
        <v>131.2</v>
      </c>
      <c r="L178" s="1">
        <v>123.0</v>
      </c>
      <c r="M178" s="1">
        <v>136.8</v>
      </c>
      <c r="N178" s="1">
        <v>129.2</v>
      </c>
      <c r="O178" s="1">
        <v>148.9</v>
      </c>
      <c r="P178" s="1">
        <v>142.1</v>
      </c>
      <c r="Q178" s="1">
        <v>153.2</v>
      </c>
      <c r="R178" s="1">
        <v>143.0</v>
      </c>
      <c r="S178" s="1">
        <v>134.8</v>
      </c>
      <c r="T178" s="1">
        <v>141.8</v>
      </c>
      <c r="U178" s="1">
        <v>138.6</v>
      </c>
      <c r="V178" s="1">
        <v>135.3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ht="15.75" customHeight="1">
      <c r="A179" s="1" t="s">
        <v>30</v>
      </c>
      <c r="B179" s="1">
        <v>2017.0</v>
      </c>
      <c r="C179" s="1" t="s">
        <v>46</v>
      </c>
      <c r="D179" s="1">
        <v>136.4</v>
      </c>
      <c r="E179" s="1">
        <v>143.7</v>
      </c>
      <c r="F179" s="1">
        <v>144.8</v>
      </c>
      <c r="G179" s="1">
        <v>141.9</v>
      </c>
      <c r="H179" s="1">
        <v>123.1</v>
      </c>
      <c r="I179" s="1">
        <v>147.2</v>
      </c>
      <c r="J179" s="1">
        <v>161.0</v>
      </c>
      <c r="K179" s="1">
        <v>133.8</v>
      </c>
      <c r="L179" s="1">
        <v>121.9</v>
      </c>
      <c r="M179" s="1">
        <v>135.8</v>
      </c>
      <c r="N179" s="1">
        <v>131.1</v>
      </c>
      <c r="O179" s="1">
        <v>151.4</v>
      </c>
      <c r="P179" s="1">
        <v>141.5</v>
      </c>
      <c r="Q179" s="1">
        <v>153.2</v>
      </c>
      <c r="R179" s="1">
        <v>148.0</v>
      </c>
      <c r="S179" s="1">
        <v>141.9</v>
      </c>
      <c r="T179" s="1">
        <v>147.2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122.0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</v>
      </c>
    </row>
    <row r="180" ht="15.75" customHeight="1">
      <c r="A180" s="1" t="s">
        <v>33</v>
      </c>
      <c r="B180" s="1">
        <v>2017.0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135.0</v>
      </c>
      <c r="J180" s="1">
        <v>163.2</v>
      </c>
      <c r="K180" s="1">
        <v>119.8</v>
      </c>
      <c r="L180" s="1">
        <v>120.7</v>
      </c>
      <c r="M180" s="1">
        <v>139.7</v>
      </c>
      <c r="N180" s="1">
        <v>125.7</v>
      </c>
      <c r="O180" s="1">
        <v>146.3</v>
      </c>
      <c r="P180" s="1">
        <v>138.8</v>
      </c>
      <c r="Q180" s="1">
        <v>157.0</v>
      </c>
      <c r="R180" s="1">
        <v>135.6</v>
      </c>
      <c r="S180" s="1">
        <v>125.6</v>
      </c>
      <c r="T180" s="1">
        <v>134.0</v>
      </c>
      <c r="U180" s="1">
        <v>139.1</v>
      </c>
      <c r="V180" s="1">
        <v>126.8</v>
      </c>
      <c r="W180" s="1">
        <v>129.3</v>
      </c>
      <c r="X180" s="1">
        <v>128.2</v>
      </c>
      <c r="Y180" s="1">
        <v>115.3</v>
      </c>
      <c r="Z180" s="1">
        <v>125.6</v>
      </c>
      <c r="AA180" s="1">
        <v>136.7</v>
      </c>
      <c r="AB180" s="1">
        <v>124.6</v>
      </c>
      <c r="AC180" s="1">
        <v>125.1</v>
      </c>
      <c r="AD180" s="1">
        <v>134.1</v>
      </c>
    </row>
    <row r="181" ht="15.75" customHeight="1">
      <c r="A181" s="1" t="s">
        <v>34</v>
      </c>
      <c r="B181" s="1">
        <v>2017.0</v>
      </c>
      <c r="C181" s="1" t="s">
        <v>46</v>
      </c>
      <c r="D181" s="1">
        <v>135.8</v>
      </c>
      <c r="E181" s="1">
        <v>143.3</v>
      </c>
      <c r="F181" s="1">
        <v>145.2</v>
      </c>
      <c r="G181" s="1">
        <v>141.0</v>
      </c>
      <c r="H181" s="1">
        <v>120.5</v>
      </c>
      <c r="I181" s="1">
        <v>141.5</v>
      </c>
      <c r="J181" s="1">
        <v>161.7</v>
      </c>
      <c r="K181" s="1">
        <v>129.1</v>
      </c>
      <c r="L181" s="1">
        <v>121.5</v>
      </c>
      <c r="M181" s="1">
        <v>137.1</v>
      </c>
      <c r="N181" s="1">
        <v>128.8</v>
      </c>
      <c r="O181" s="1">
        <v>149.0</v>
      </c>
      <c r="P181" s="1">
        <v>140.5</v>
      </c>
      <c r="Q181" s="1">
        <v>154.2</v>
      </c>
      <c r="R181" s="1">
        <v>143.1</v>
      </c>
      <c r="S181" s="1">
        <v>135.1</v>
      </c>
      <c r="T181" s="1">
        <v>142.0</v>
      </c>
      <c r="U181" s="1">
        <v>139.1</v>
      </c>
      <c r="V181" s="1">
        <v>136.6</v>
      </c>
      <c r="W181" s="1">
        <v>134.7</v>
      </c>
      <c r="X181" s="1">
        <v>133.1</v>
      </c>
      <c r="Y181" s="1">
        <v>118.5</v>
      </c>
      <c r="Z181" s="1">
        <v>129.0</v>
      </c>
      <c r="AA181" s="1">
        <v>138.5</v>
      </c>
      <c r="AB181" s="1">
        <v>126.5</v>
      </c>
      <c r="AC181" s="1">
        <v>128.6</v>
      </c>
      <c r="AD181" s="1">
        <v>137.2</v>
      </c>
    </row>
    <row r="182" ht="15.75" customHeight="1">
      <c r="A182" s="1" t="s">
        <v>30</v>
      </c>
      <c r="B182" s="1">
        <v>2018.0</v>
      </c>
      <c r="C182" s="1" t="s">
        <v>31</v>
      </c>
      <c r="D182" s="1">
        <v>136.6</v>
      </c>
      <c r="E182" s="1">
        <v>144.4</v>
      </c>
      <c r="F182" s="1">
        <v>143.8</v>
      </c>
      <c r="G182" s="1">
        <v>142.0</v>
      </c>
      <c r="H182" s="1">
        <v>123.2</v>
      </c>
      <c r="I182" s="1">
        <v>147.9</v>
      </c>
      <c r="J182" s="1">
        <v>152.1</v>
      </c>
      <c r="K182" s="1">
        <v>131.8</v>
      </c>
      <c r="L182" s="1">
        <v>119.5</v>
      </c>
      <c r="M182" s="1">
        <v>136.0</v>
      </c>
      <c r="N182" s="1">
        <v>131.2</v>
      </c>
      <c r="O182" s="1">
        <v>151.8</v>
      </c>
      <c r="P182" s="1">
        <v>140.4</v>
      </c>
      <c r="Q182" s="1">
        <v>153.6</v>
      </c>
      <c r="R182" s="1">
        <v>148.3</v>
      </c>
      <c r="S182" s="1">
        <v>142.3</v>
      </c>
      <c r="T182" s="1">
        <v>147.5</v>
      </c>
      <c r="U182" s="1" t="s">
        <v>32</v>
      </c>
      <c r="V182" s="1">
        <v>142.3</v>
      </c>
      <c r="W182" s="1">
        <v>139.8</v>
      </c>
      <c r="X182" s="1">
        <v>136.0</v>
      </c>
      <c r="Y182" s="1">
        <v>122.7</v>
      </c>
      <c r="Z182" s="1">
        <v>134.3</v>
      </c>
      <c r="AA182" s="1">
        <v>141.6</v>
      </c>
      <c r="AB182" s="1">
        <v>128.6</v>
      </c>
      <c r="AC182" s="1">
        <v>132.3</v>
      </c>
      <c r="AD182" s="1">
        <v>139.3</v>
      </c>
    </row>
    <row r="183" ht="15.75" customHeight="1">
      <c r="A183" s="1" t="s">
        <v>33</v>
      </c>
      <c r="B183" s="1">
        <v>2018.0</v>
      </c>
      <c r="C183" s="1" t="s">
        <v>31</v>
      </c>
      <c r="D183" s="1">
        <v>134.6</v>
      </c>
      <c r="E183" s="1">
        <v>143.7</v>
      </c>
      <c r="F183" s="1">
        <v>143.6</v>
      </c>
      <c r="G183" s="1">
        <v>139.6</v>
      </c>
      <c r="H183" s="1">
        <v>116.4</v>
      </c>
      <c r="I183" s="1">
        <v>133.8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</v>
      </c>
      <c r="P183" s="1">
        <v>137.2</v>
      </c>
      <c r="Q183" s="1">
        <v>157.7</v>
      </c>
      <c r="R183" s="1">
        <v>136.0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129.0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ht="15.75" customHeight="1">
      <c r="A184" s="1" t="s">
        <v>34</v>
      </c>
      <c r="B184" s="1">
        <v>2018.0</v>
      </c>
      <c r="C184" s="1" t="s">
        <v>31</v>
      </c>
      <c r="D184" s="1">
        <v>136.0</v>
      </c>
      <c r="E184" s="1">
        <v>144.2</v>
      </c>
      <c r="F184" s="1">
        <v>143.7</v>
      </c>
      <c r="G184" s="1">
        <v>141.1</v>
      </c>
      <c r="H184" s="1">
        <v>120.7</v>
      </c>
      <c r="I184" s="1">
        <v>141.3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129.0</v>
      </c>
      <c r="O184" s="1">
        <v>149.5</v>
      </c>
      <c r="P184" s="1">
        <v>139.2</v>
      </c>
      <c r="Q184" s="1">
        <v>154.7</v>
      </c>
      <c r="R184" s="1">
        <v>143.5</v>
      </c>
      <c r="S184" s="1">
        <v>135.5</v>
      </c>
      <c r="T184" s="1">
        <v>142.3</v>
      </c>
      <c r="U184" s="1">
        <v>140.4</v>
      </c>
      <c r="V184" s="1">
        <v>136.6</v>
      </c>
      <c r="W184" s="1">
        <v>134.9</v>
      </c>
      <c r="X184" s="1">
        <v>133.3</v>
      </c>
      <c r="Y184" s="1">
        <v>119.3</v>
      </c>
      <c r="Z184" s="1">
        <v>129.7</v>
      </c>
      <c r="AA184" s="1">
        <v>139.0</v>
      </c>
      <c r="AB184" s="1">
        <v>127.3</v>
      </c>
      <c r="AC184" s="1">
        <v>129.1</v>
      </c>
      <c r="AD184" s="1">
        <v>136.9</v>
      </c>
    </row>
    <row r="185" ht="15.75" customHeight="1">
      <c r="A185" s="1" t="s">
        <v>30</v>
      </c>
      <c r="B185" s="1">
        <v>2018.0</v>
      </c>
      <c r="C185" s="1" t="s">
        <v>35</v>
      </c>
      <c r="D185" s="1">
        <v>136.4</v>
      </c>
      <c r="E185" s="1">
        <v>143.7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130.2</v>
      </c>
      <c r="L185" s="1">
        <v>117.9</v>
      </c>
      <c r="M185" s="1">
        <v>135.6</v>
      </c>
      <c r="N185" s="1">
        <v>130.5</v>
      </c>
      <c r="O185" s="1">
        <v>151.7</v>
      </c>
      <c r="P185" s="1">
        <v>138.7</v>
      </c>
      <c r="Q185" s="1">
        <v>153.3</v>
      </c>
      <c r="R185" s="1">
        <v>148.7</v>
      </c>
      <c r="S185" s="1">
        <v>142.4</v>
      </c>
      <c r="T185" s="1">
        <v>147.8</v>
      </c>
      <c r="U185" s="1" t="s">
        <v>32</v>
      </c>
      <c r="V185" s="1">
        <v>142.4</v>
      </c>
      <c r="W185" s="1">
        <v>139.9</v>
      </c>
      <c r="X185" s="1">
        <v>136.2</v>
      </c>
      <c r="Y185" s="1">
        <v>123.3</v>
      </c>
      <c r="Z185" s="1">
        <v>134.3</v>
      </c>
      <c r="AA185" s="1">
        <v>141.5</v>
      </c>
      <c r="AB185" s="1">
        <v>128.8</v>
      </c>
      <c r="AC185" s="1">
        <v>132.5</v>
      </c>
      <c r="AD185" s="1">
        <v>138.5</v>
      </c>
    </row>
    <row r="186" ht="15.75" customHeight="1">
      <c r="A186" s="1" t="s">
        <v>33</v>
      </c>
      <c r="B186" s="1">
        <v>2018.0</v>
      </c>
      <c r="C186" s="1" t="s">
        <v>35</v>
      </c>
      <c r="D186" s="1">
        <v>134.8</v>
      </c>
      <c r="E186" s="1">
        <v>143.0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117.0</v>
      </c>
      <c r="L186" s="1">
        <v>115.4</v>
      </c>
      <c r="M186" s="1">
        <v>140.7</v>
      </c>
      <c r="N186" s="1">
        <v>125.9</v>
      </c>
      <c r="O186" s="1">
        <v>147.1</v>
      </c>
      <c r="P186" s="1">
        <v>135.6</v>
      </c>
      <c r="Q186" s="1">
        <v>159.3</v>
      </c>
      <c r="R186" s="1">
        <v>136.3</v>
      </c>
      <c r="S186" s="1">
        <v>126.1</v>
      </c>
      <c r="T186" s="1">
        <v>134.7</v>
      </c>
      <c r="U186" s="1">
        <v>141.3</v>
      </c>
      <c r="V186" s="1">
        <v>127.3</v>
      </c>
      <c r="W186" s="1">
        <v>129.9</v>
      </c>
      <c r="X186" s="1">
        <v>129.8</v>
      </c>
      <c r="Y186" s="1">
        <v>117.4</v>
      </c>
      <c r="Z186" s="1">
        <v>126.5</v>
      </c>
      <c r="AA186" s="1">
        <v>137.2</v>
      </c>
      <c r="AB186" s="1">
        <v>126.2</v>
      </c>
      <c r="AC186" s="1">
        <v>126.5</v>
      </c>
      <c r="AD186" s="1">
        <v>134.0</v>
      </c>
    </row>
    <row r="187" ht="15.75" customHeight="1">
      <c r="A187" s="1" t="s">
        <v>34</v>
      </c>
      <c r="B187" s="1">
        <v>2018.0</v>
      </c>
      <c r="C187" s="1" t="s">
        <v>35</v>
      </c>
      <c r="D187" s="1">
        <v>135.9</v>
      </c>
      <c r="E187" s="1">
        <v>143.5</v>
      </c>
      <c r="F187" s="1">
        <v>140.3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</v>
      </c>
      <c r="S187" s="1">
        <v>135.6</v>
      </c>
      <c r="T187" s="1">
        <v>142.6</v>
      </c>
      <c r="U187" s="1">
        <v>141.3</v>
      </c>
      <c r="V187" s="1">
        <v>136.7</v>
      </c>
      <c r="W187" s="1">
        <v>135.2</v>
      </c>
      <c r="X187" s="1">
        <v>133.8</v>
      </c>
      <c r="Y187" s="1">
        <v>120.2</v>
      </c>
      <c r="Z187" s="1">
        <v>129.9</v>
      </c>
      <c r="AA187" s="1">
        <v>139.0</v>
      </c>
      <c r="AB187" s="1">
        <v>127.7</v>
      </c>
      <c r="AC187" s="1">
        <v>129.6</v>
      </c>
      <c r="AD187" s="1">
        <v>136.4</v>
      </c>
    </row>
    <row r="188" ht="15.75" customHeight="1">
      <c r="A188" s="1" t="s">
        <v>30</v>
      </c>
      <c r="B188" s="1">
        <v>2018.0</v>
      </c>
      <c r="C188" s="1" t="s">
        <v>36</v>
      </c>
      <c r="D188" s="1">
        <v>136.8</v>
      </c>
      <c r="E188" s="1">
        <v>143.8</v>
      </c>
      <c r="F188" s="1">
        <v>140.0</v>
      </c>
      <c r="G188" s="1">
        <v>142.0</v>
      </c>
      <c r="H188" s="1">
        <v>123.2</v>
      </c>
      <c r="I188" s="1">
        <v>152.9</v>
      </c>
      <c r="J188" s="1">
        <v>138.0</v>
      </c>
      <c r="K188" s="1">
        <v>129.3</v>
      </c>
      <c r="L188" s="1">
        <v>117.1</v>
      </c>
      <c r="M188" s="1">
        <v>136.3</v>
      </c>
      <c r="N188" s="1">
        <v>131.2</v>
      </c>
      <c r="O188" s="1">
        <v>152.8</v>
      </c>
      <c r="P188" s="1">
        <v>138.6</v>
      </c>
      <c r="Q188" s="1">
        <v>155.1</v>
      </c>
      <c r="R188" s="1">
        <v>149.2</v>
      </c>
      <c r="S188" s="1">
        <v>143.0</v>
      </c>
      <c r="T188" s="1">
        <v>148.3</v>
      </c>
      <c r="U188" s="1" t="s">
        <v>32</v>
      </c>
      <c r="V188" s="1">
        <v>142.6</v>
      </c>
      <c r="W188" s="1">
        <v>139.9</v>
      </c>
      <c r="X188" s="1">
        <v>136.7</v>
      </c>
      <c r="Y188" s="1">
        <v>124.6</v>
      </c>
      <c r="Z188" s="1">
        <v>135.1</v>
      </c>
      <c r="AA188" s="1">
        <v>142.7</v>
      </c>
      <c r="AB188" s="1">
        <v>129.3</v>
      </c>
      <c r="AC188" s="1">
        <v>133.3</v>
      </c>
      <c r="AD188" s="1">
        <v>138.7</v>
      </c>
    </row>
    <row r="189" ht="15.75" customHeight="1">
      <c r="A189" s="1" t="s">
        <v>33</v>
      </c>
      <c r="B189" s="1">
        <v>2018.0</v>
      </c>
      <c r="C189" s="1" t="s">
        <v>36</v>
      </c>
      <c r="D189" s="1">
        <v>135.0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128.0</v>
      </c>
      <c r="K189" s="1">
        <v>115.5</v>
      </c>
      <c r="L189" s="1">
        <v>114.2</v>
      </c>
      <c r="M189" s="1">
        <v>140.7</v>
      </c>
      <c r="N189" s="1">
        <v>126.2</v>
      </c>
      <c r="O189" s="1">
        <v>147.6</v>
      </c>
      <c r="P189" s="1">
        <v>134.8</v>
      </c>
      <c r="Q189" s="1">
        <v>159.7</v>
      </c>
      <c r="R189" s="1">
        <v>136.7</v>
      </c>
      <c r="S189" s="1">
        <v>126.7</v>
      </c>
      <c r="T189" s="1">
        <v>135.2</v>
      </c>
      <c r="U189" s="1">
        <v>142.0</v>
      </c>
      <c r="V189" s="1">
        <v>126.4</v>
      </c>
      <c r="W189" s="1">
        <v>130.8</v>
      </c>
      <c r="X189" s="1">
        <v>130.5</v>
      </c>
      <c r="Y189" s="1">
        <v>117.8</v>
      </c>
      <c r="Z189" s="1">
        <v>126.8</v>
      </c>
      <c r="AA189" s="1">
        <v>137.8</v>
      </c>
      <c r="AB189" s="1">
        <v>126.7</v>
      </c>
      <c r="AC189" s="1">
        <v>127.1</v>
      </c>
      <c r="AD189" s="1">
        <v>134.0</v>
      </c>
    </row>
    <row r="190" ht="15.75" customHeight="1">
      <c r="A190" s="1" t="s">
        <v>34</v>
      </c>
      <c r="B190" s="1">
        <v>2018.0</v>
      </c>
      <c r="C190" s="1" t="s">
        <v>36</v>
      </c>
      <c r="D190" s="1">
        <v>136.2</v>
      </c>
      <c r="E190" s="1">
        <v>143.6</v>
      </c>
      <c r="F190" s="1">
        <v>138.3</v>
      </c>
      <c r="G190" s="1">
        <v>141.2</v>
      </c>
      <c r="H190" s="1">
        <v>120.7</v>
      </c>
      <c r="I190" s="1">
        <v>146.2</v>
      </c>
      <c r="J190" s="1">
        <v>134.6</v>
      </c>
      <c r="K190" s="1">
        <v>124.6</v>
      </c>
      <c r="L190" s="1">
        <v>116.1</v>
      </c>
      <c r="M190" s="1">
        <v>137.8</v>
      </c>
      <c r="N190" s="1">
        <v>129.1</v>
      </c>
      <c r="O190" s="1">
        <v>150.4</v>
      </c>
      <c r="P190" s="1">
        <v>137.2</v>
      </c>
      <c r="Q190" s="1">
        <v>156.3</v>
      </c>
      <c r="R190" s="1">
        <v>144.3</v>
      </c>
      <c r="S190" s="1">
        <v>136.2</v>
      </c>
      <c r="T190" s="1">
        <v>143.1</v>
      </c>
      <c r="U190" s="1">
        <v>142.0</v>
      </c>
      <c r="V190" s="1">
        <v>136.5</v>
      </c>
      <c r="W190" s="1">
        <v>135.6</v>
      </c>
      <c r="X190" s="1">
        <v>134.3</v>
      </c>
      <c r="Y190" s="1">
        <v>121.0</v>
      </c>
      <c r="Z190" s="1">
        <v>130.4</v>
      </c>
      <c r="AA190" s="1">
        <v>139.8</v>
      </c>
      <c r="AB190" s="1">
        <v>128.2</v>
      </c>
      <c r="AC190" s="1">
        <v>130.3</v>
      </c>
      <c r="AD190" s="1">
        <v>136.5</v>
      </c>
    </row>
    <row r="191" ht="15.75" customHeight="1">
      <c r="A191" s="1" t="s">
        <v>30</v>
      </c>
      <c r="B191" s="1">
        <v>2018.0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137.2</v>
      </c>
      <c r="N191" s="1">
        <v>131.9</v>
      </c>
      <c r="O191" s="1">
        <v>153.8</v>
      </c>
      <c r="P191" s="1">
        <v>138.6</v>
      </c>
      <c r="Q191" s="1">
        <v>156.1</v>
      </c>
      <c r="R191" s="1">
        <v>150.1</v>
      </c>
      <c r="S191" s="1">
        <v>143.3</v>
      </c>
      <c r="T191" s="1">
        <v>149.1</v>
      </c>
      <c r="U191" s="1" t="s">
        <v>32</v>
      </c>
      <c r="V191" s="1">
        <v>143.8</v>
      </c>
      <c r="W191" s="1">
        <v>140.9</v>
      </c>
      <c r="X191" s="1">
        <v>137.6</v>
      </c>
      <c r="Y191" s="1">
        <v>125.3</v>
      </c>
      <c r="Z191" s="1">
        <v>136.0</v>
      </c>
      <c r="AA191" s="1">
        <v>143.7</v>
      </c>
      <c r="AB191" s="1">
        <v>130.4</v>
      </c>
      <c r="AC191" s="1">
        <v>134.2</v>
      </c>
      <c r="AD191" s="1">
        <v>139.1</v>
      </c>
    </row>
    <row r="192" ht="15.75" customHeight="1">
      <c r="A192" s="1" t="s">
        <v>33</v>
      </c>
      <c r="B192" s="1">
        <v>2018.0</v>
      </c>
      <c r="C192" s="1" t="s">
        <v>37</v>
      </c>
      <c r="D192" s="1">
        <v>135.0</v>
      </c>
      <c r="E192" s="1">
        <v>144.3</v>
      </c>
      <c r="F192" s="1">
        <v>130.8</v>
      </c>
      <c r="G192" s="1">
        <v>140.3</v>
      </c>
      <c r="H192" s="1">
        <v>116.6</v>
      </c>
      <c r="I192" s="1">
        <v>150.1</v>
      </c>
      <c r="J192" s="1">
        <v>127.6</v>
      </c>
      <c r="K192" s="1">
        <v>114.0</v>
      </c>
      <c r="L192" s="1">
        <v>110.6</v>
      </c>
      <c r="M192" s="1">
        <v>140.2</v>
      </c>
      <c r="N192" s="1">
        <v>126.5</v>
      </c>
      <c r="O192" s="1">
        <v>148.3</v>
      </c>
      <c r="P192" s="1">
        <v>135.7</v>
      </c>
      <c r="Q192" s="1">
        <v>159.2</v>
      </c>
      <c r="R192" s="1">
        <v>137.8</v>
      </c>
      <c r="S192" s="1">
        <v>127.4</v>
      </c>
      <c r="T192" s="1">
        <v>136.2</v>
      </c>
      <c r="U192" s="1">
        <v>142.9</v>
      </c>
      <c r="V192" s="1">
        <v>124.6</v>
      </c>
      <c r="W192" s="1">
        <v>131.8</v>
      </c>
      <c r="X192" s="1">
        <v>131.3</v>
      </c>
      <c r="Y192" s="1">
        <v>118.9</v>
      </c>
      <c r="Z192" s="1">
        <v>127.6</v>
      </c>
      <c r="AA192" s="1">
        <v>139.7</v>
      </c>
      <c r="AB192" s="1">
        <v>127.6</v>
      </c>
      <c r="AC192" s="1">
        <v>128.2</v>
      </c>
      <c r="AD192" s="1">
        <v>134.8</v>
      </c>
    </row>
    <row r="193" ht="15.75" customHeight="1">
      <c r="A193" s="1" t="s">
        <v>34</v>
      </c>
      <c r="B193" s="1">
        <v>2018.0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121.0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138.2</v>
      </c>
      <c r="N193" s="1">
        <v>129.6</v>
      </c>
      <c r="O193" s="1">
        <v>151.2</v>
      </c>
      <c r="P193" s="1">
        <v>137.5</v>
      </c>
      <c r="Q193" s="1">
        <v>156.9</v>
      </c>
      <c r="R193" s="1">
        <v>145.3</v>
      </c>
      <c r="S193" s="1">
        <v>136.7</v>
      </c>
      <c r="T193" s="1">
        <v>144.0</v>
      </c>
      <c r="U193" s="1">
        <v>142.9</v>
      </c>
      <c r="V193" s="1">
        <v>136.5</v>
      </c>
      <c r="W193" s="1">
        <v>136.6</v>
      </c>
      <c r="X193" s="1">
        <v>135.2</v>
      </c>
      <c r="Y193" s="1">
        <v>121.9</v>
      </c>
      <c r="Z193" s="1">
        <v>131.3</v>
      </c>
      <c r="AA193" s="1">
        <v>141.4</v>
      </c>
      <c r="AB193" s="1">
        <v>129.2</v>
      </c>
      <c r="AC193" s="1">
        <v>131.3</v>
      </c>
      <c r="AD193" s="1">
        <v>137.1</v>
      </c>
    </row>
    <row r="194" ht="15.75" customHeight="1">
      <c r="A194" s="1" t="s">
        <v>30</v>
      </c>
      <c r="B194" s="1">
        <v>2018.0</v>
      </c>
      <c r="C194" s="1" t="s">
        <v>38</v>
      </c>
      <c r="D194" s="1">
        <v>137.4</v>
      </c>
      <c r="E194" s="1">
        <v>145.7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</v>
      </c>
      <c r="K194" s="1">
        <v>127.2</v>
      </c>
      <c r="L194" s="1">
        <v>111.8</v>
      </c>
      <c r="M194" s="1">
        <v>137.4</v>
      </c>
      <c r="N194" s="1">
        <v>132.2</v>
      </c>
      <c r="O194" s="1">
        <v>154.3</v>
      </c>
      <c r="P194" s="1">
        <v>139.1</v>
      </c>
      <c r="Q194" s="1">
        <v>157.0</v>
      </c>
      <c r="R194" s="1">
        <v>150.8</v>
      </c>
      <c r="S194" s="1">
        <v>144.1</v>
      </c>
      <c r="T194" s="1">
        <v>149.8</v>
      </c>
      <c r="U194" s="1" t="s">
        <v>32</v>
      </c>
      <c r="V194" s="1">
        <v>144.3</v>
      </c>
      <c r="W194" s="1">
        <v>141.8</v>
      </c>
      <c r="X194" s="1">
        <v>138.4</v>
      </c>
      <c r="Y194" s="1">
        <v>126.4</v>
      </c>
      <c r="Z194" s="1">
        <v>136.8</v>
      </c>
      <c r="AA194" s="1">
        <v>144.4</v>
      </c>
      <c r="AB194" s="1">
        <v>131.2</v>
      </c>
      <c r="AC194" s="1">
        <v>135.1</v>
      </c>
      <c r="AD194" s="1">
        <v>139.8</v>
      </c>
    </row>
    <row r="195" ht="15.75" customHeight="1">
      <c r="A195" s="1" t="s">
        <v>33</v>
      </c>
      <c r="B195" s="1">
        <v>2018.0</v>
      </c>
      <c r="C195" s="1" t="s">
        <v>38</v>
      </c>
      <c r="D195" s="1">
        <v>135.0</v>
      </c>
      <c r="E195" s="1">
        <v>148.2</v>
      </c>
      <c r="F195" s="1">
        <v>130.5</v>
      </c>
      <c r="G195" s="1">
        <v>140.7</v>
      </c>
      <c r="H195" s="1">
        <v>116.4</v>
      </c>
      <c r="I195" s="1">
        <v>151.3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148.7</v>
      </c>
      <c r="P195" s="1">
        <v>136.4</v>
      </c>
      <c r="Q195" s="1">
        <v>160.3</v>
      </c>
      <c r="R195" s="1">
        <v>138.6</v>
      </c>
      <c r="S195" s="1">
        <v>127.9</v>
      </c>
      <c r="T195" s="1">
        <v>137.0</v>
      </c>
      <c r="U195" s="1">
        <v>143.2</v>
      </c>
      <c r="V195" s="1">
        <v>124.7</v>
      </c>
      <c r="W195" s="1">
        <v>132.5</v>
      </c>
      <c r="X195" s="1">
        <v>132.0</v>
      </c>
      <c r="Y195" s="1">
        <v>119.8</v>
      </c>
      <c r="Z195" s="1">
        <v>128.0</v>
      </c>
      <c r="AA195" s="1">
        <v>140.4</v>
      </c>
      <c r="AB195" s="1">
        <v>128.1</v>
      </c>
      <c r="AC195" s="1">
        <v>128.9</v>
      </c>
      <c r="AD195" s="1">
        <v>135.4</v>
      </c>
    </row>
    <row r="196" ht="15.75" customHeight="1">
      <c r="A196" s="1" t="s">
        <v>34</v>
      </c>
      <c r="B196" s="1">
        <v>2018.0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121.0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151.7</v>
      </c>
      <c r="P196" s="1">
        <v>138.1</v>
      </c>
      <c r="Q196" s="1">
        <v>157.9</v>
      </c>
      <c r="R196" s="1">
        <v>146.0</v>
      </c>
      <c r="S196" s="1">
        <v>137.4</v>
      </c>
      <c r="T196" s="1">
        <v>144.7</v>
      </c>
      <c r="U196" s="1">
        <v>143.2</v>
      </c>
      <c r="V196" s="1">
        <v>136.9</v>
      </c>
      <c r="W196" s="1">
        <v>137.4</v>
      </c>
      <c r="X196" s="1">
        <v>136.0</v>
      </c>
      <c r="Y196" s="1">
        <v>122.9</v>
      </c>
      <c r="Z196" s="1">
        <v>131.8</v>
      </c>
      <c r="AA196" s="1">
        <v>142.1</v>
      </c>
      <c r="AB196" s="1">
        <v>129.9</v>
      </c>
      <c r="AC196" s="1">
        <v>132.1</v>
      </c>
      <c r="AD196" s="1">
        <v>137.8</v>
      </c>
    </row>
    <row r="197" ht="15.75" customHeight="1">
      <c r="A197" s="1" t="s">
        <v>30</v>
      </c>
      <c r="B197" s="1">
        <v>2018.0</v>
      </c>
      <c r="C197" s="1" t="s">
        <v>39</v>
      </c>
      <c r="D197" s="1">
        <v>137.6</v>
      </c>
      <c r="E197" s="1">
        <v>148.1</v>
      </c>
      <c r="F197" s="1">
        <v>136.7</v>
      </c>
      <c r="G197" s="1">
        <v>143.2</v>
      </c>
      <c r="H197" s="1">
        <v>124.0</v>
      </c>
      <c r="I197" s="1">
        <v>154.1</v>
      </c>
      <c r="J197" s="1">
        <v>143.5</v>
      </c>
      <c r="K197" s="1">
        <v>126.0</v>
      </c>
      <c r="L197" s="1">
        <v>112.4</v>
      </c>
      <c r="M197" s="1">
        <v>137.6</v>
      </c>
      <c r="N197" s="1">
        <v>132.8</v>
      </c>
      <c r="O197" s="1">
        <v>154.3</v>
      </c>
      <c r="P197" s="1">
        <v>140.0</v>
      </c>
      <c r="Q197" s="1">
        <v>157.3</v>
      </c>
      <c r="R197" s="1">
        <v>151.3</v>
      </c>
      <c r="S197" s="1">
        <v>144.7</v>
      </c>
      <c r="T197" s="1">
        <v>150.3</v>
      </c>
      <c r="U197" s="1" t="s">
        <v>32</v>
      </c>
      <c r="V197" s="1">
        <v>145.1</v>
      </c>
      <c r="W197" s="1">
        <v>142.2</v>
      </c>
      <c r="X197" s="1">
        <v>138.4</v>
      </c>
      <c r="Y197" s="1">
        <v>127.4</v>
      </c>
      <c r="Z197" s="1">
        <v>137.8</v>
      </c>
      <c r="AA197" s="1">
        <v>145.1</v>
      </c>
      <c r="AB197" s="1">
        <v>131.4</v>
      </c>
      <c r="AC197" s="1">
        <v>135.6</v>
      </c>
      <c r="AD197" s="1">
        <v>140.5</v>
      </c>
    </row>
    <row r="198" ht="15.75" customHeight="1">
      <c r="A198" s="1" t="s">
        <v>33</v>
      </c>
      <c r="B198" s="1">
        <v>2018.0</v>
      </c>
      <c r="C198" s="1" t="s">
        <v>39</v>
      </c>
      <c r="D198" s="1">
        <v>135.3</v>
      </c>
      <c r="E198" s="1">
        <v>149.7</v>
      </c>
      <c r="F198" s="1">
        <v>133.9</v>
      </c>
      <c r="G198" s="1">
        <v>140.8</v>
      </c>
      <c r="H198" s="1">
        <v>116.6</v>
      </c>
      <c r="I198" s="1">
        <v>152.2</v>
      </c>
      <c r="J198" s="1">
        <v>144.0</v>
      </c>
      <c r="K198" s="1">
        <v>112.3</v>
      </c>
      <c r="L198" s="1">
        <v>108.4</v>
      </c>
      <c r="M198" s="1">
        <v>140.0</v>
      </c>
      <c r="N198" s="1">
        <v>126.7</v>
      </c>
      <c r="O198" s="1">
        <v>149.0</v>
      </c>
      <c r="P198" s="1">
        <v>138.4</v>
      </c>
      <c r="Q198" s="1">
        <v>161.0</v>
      </c>
      <c r="R198" s="1">
        <v>138.9</v>
      </c>
      <c r="S198" s="1">
        <v>128.7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141.2</v>
      </c>
      <c r="AB198" s="1">
        <v>128.2</v>
      </c>
      <c r="AC198" s="1">
        <v>129.5</v>
      </c>
      <c r="AD198" s="1">
        <v>136.2</v>
      </c>
    </row>
    <row r="199" ht="15.75" customHeight="1">
      <c r="A199" s="1" t="s">
        <v>34</v>
      </c>
      <c r="B199" s="1">
        <v>2018.0</v>
      </c>
      <c r="C199" s="1" t="s">
        <v>39</v>
      </c>
      <c r="D199" s="1">
        <v>136.9</v>
      </c>
      <c r="E199" s="1">
        <v>148.7</v>
      </c>
      <c r="F199" s="1">
        <v>135.6</v>
      </c>
      <c r="G199" s="1">
        <v>142.3</v>
      </c>
      <c r="H199" s="1">
        <v>121.3</v>
      </c>
      <c r="I199" s="1">
        <v>153.2</v>
      </c>
      <c r="J199" s="1">
        <v>143.7</v>
      </c>
      <c r="K199" s="1">
        <v>121.4</v>
      </c>
      <c r="L199" s="1">
        <v>111.1</v>
      </c>
      <c r="M199" s="1">
        <v>138.4</v>
      </c>
      <c r="N199" s="1">
        <v>130.3</v>
      </c>
      <c r="O199" s="1">
        <v>151.8</v>
      </c>
      <c r="P199" s="1">
        <v>139.4</v>
      </c>
      <c r="Q199" s="1">
        <v>158.3</v>
      </c>
      <c r="R199" s="1">
        <v>146.4</v>
      </c>
      <c r="S199" s="1">
        <v>138.1</v>
      </c>
      <c r="T199" s="1">
        <v>145.2</v>
      </c>
      <c r="U199" s="1">
        <v>142.5</v>
      </c>
      <c r="V199" s="1">
        <v>138.1</v>
      </c>
      <c r="W199" s="1">
        <v>137.9</v>
      </c>
      <c r="X199" s="1">
        <v>136.2</v>
      </c>
      <c r="Y199" s="1">
        <v>123.7</v>
      </c>
      <c r="Z199" s="1">
        <v>132.6</v>
      </c>
      <c r="AA199" s="1">
        <v>142.8</v>
      </c>
      <c r="AB199" s="1">
        <v>130.1</v>
      </c>
      <c r="AC199" s="1">
        <v>132.6</v>
      </c>
      <c r="AD199" s="1">
        <v>138.5</v>
      </c>
    </row>
    <row r="200" ht="15.75" customHeight="1">
      <c r="A200" s="1" t="s">
        <v>30</v>
      </c>
      <c r="B200" s="1">
        <v>2018.0</v>
      </c>
      <c r="C200" s="1" t="s">
        <v>40</v>
      </c>
      <c r="D200" s="1">
        <v>138.4</v>
      </c>
      <c r="E200" s="1">
        <v>149.3</v>
      </c>
      <c r="F200" s="1">
        <v>139.3</v>
      </c>
      <c r="G200" s="1">
        <v>143.4</v>
      </c>
      <c r="H200" s="1">
        <v>124.1</v>
      </c>
      <c r="I200" s="1">
        <v>153.3</v>
      </c>
      <c r="J200" s="1">
        <v>154.2</v>
      </c>
      <c r="K200" s="1">
        <v>126.4</v>
      </c>
      <c r="L200" s="1">
        <v>114.3</v>
      </c>
      <c r="M200" s="1">
        <v>138.2</v>
      </c>
      <c r="N200" s="1">
        <v>132.8</v>
      </c>
      <c r="O200" s="1">
        <v>154.8</v>
      </c>
      <c r="P200" s="1">
        <v>142.0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</v>
      </c>
      <c r="W200" s="1">
        <v>143.1</v>
      </c>
      <c r="X200" s="1">
        <v>139.0</v>
      </c>
      <c r="Y200" s="1">
        <v>127.5</v>
      </c>
      <c r="Z200" s="1">
        <v>138.4</v>
      </c>
      <c r="AA200" s="1">
        <v>145.8</v>
      </c>
      <c r="AB200" s="1">
        <v>131.4</v>
      </c>
      <c r="AC200" s="1">
        <v>136.0</v>
      </c>
      <c r="AD200" s="1">
        <v>141.8</v>
      </c>
    </row>
    <row r="201" ht="15.75" customHeight="1">
      <c r="A201" s="1" t="s">
        <v>33</v>
      </c>
      <c r="B201" s="1">
        <v>2018.0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141.0</v>
      </c>
      <c r="H201" s="1">
        <v>116.7</v>
      </c>
      <c r="I201" s="1">
        <v>149.7</v>
      </c>
      <c r="J201" s="1">
        <v>159.2</v>
      </c>
      <c r="K201" s="1">
        <v>112.6</v>
      </c>
      <c r="L201" s="1">
        <v>111.8</v>
      </c>
      <c r="M201" s="1">
        <v>140.3</v>
      </c>
      <c r="N201" s="1">
        <v>126.8</v>
      </c>
      <c r="O201" s="1">
        <v>149.4</v>
      </c>
      <c r="P201" s="1">
        <v>140.3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129.0</v>
      </c>
      <c r="AA201" s="1">
        <v>144.0</v>
      </c>
      <c r="AB201" s="1">
        <v>128.2</v>
      </c>
      <c r="AC201" s="1">
        <v>130.2</v>
      </c>
      <c r="AD201" s="1">
        <v>137.5</v>
      </c>
    </row>
    <row r="202" ht="15.75" customHeight="1">
      <c r="A202" s="1" t="s">
        <v>34</v>
      </c>
      <c r="B202" s="1">
        <v>2018.0</v>
      </c>
      <c r="C202" s="1" t="s">
        <v>40</v>
      </c>
      <c r="D202" s="1">
        <v>137.5</v>
      </c>
      <c r="E202" s="1">
        <v>149.1</v>
      </c>
      <c r="F202" s="1">
        <v>139.2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</v>
      </c>
      <c r="O202" s="1">
        <v>152.3</v>
      </c>
      <c r="P202" s="1">
        <v>141.4</v>
      </c>
      <c r="Q202" s="1">
        <v>157.5</v>
      </c>
      <c r="R202" s="1">
        <v>146.8</v>
      </c>
      <c r="S202" s="1">
        <v>138.4</v>
      </c>
      <c r="T202" s="1">
        <v>145.6</v>
      </c>
      <c r="U202" s="1">
        <v>143.6</v>
      </c>
      <c r="V202" s="1">
        <v>139.7</v>
      </c>
      <c r="W202" s="1">
        <v>138.6</v>
      </c>
      <c r="X202" s="1">
        <v>137.0</v>
      </c>
      <c r="Y202" s="1">
        <v>123.6</v>
      </c>
      <c r="Z202" s="1">
        <v>133.1</v>
      </c>
      <c r="AA202" s="1">
        <v>144.7</v>
      </c>
      <c r="AB202" s="1">
        <v>130.1</v>
      </c>
      <c r="AC202" s="1">
        <v>133.2</v>
      </c>
      <c r="AD202" s="1">
        <v>139.8</v>
      </c>
    </row>
    <row r="203" ht="15.75" customHeight="1">
      <c r="A203" s="1" t="s">
        <v>30</v>
      </c>
      <c r="B203" s="1">
        <v>2018.0</v>
      </c>
      <c r="C203" s="1" t="s">
        <v>41</v>
      </c>
      <c r="D203" s="1">
        <v>139.2</v>
      </c>
      <c r="E203" s="1">
        <v>148.8</v>
      </c>
      <c r="F203" s="1">
        <v>139.1</v>
      </c>
      <c r="G203" s="1">
        <v>143.5</v>
      </c>
      <c r="H203" s="1">
        <v>125.0</v>
      </c>
      <c r="I203" s="1">
        <v>154.4</v>
      </c>
      <c r="J203" s="1">
        <v>156.3</v>
      </c>
      <c r="K203" s="1">
        <v>126.8</v>
      </c>
      <c r="L203" s="1">
        <v>115.4</v>
      </c>
      <c r="M203" s="1">
        <v>138.6</v>
      </c>
      <c r="N203" s="1">
        <v>133.8</v>
      </c>
      <c r="O203" s="1">
        <v>155.2</v>
      </c>
      <c r="P203" s="1">
        <v>142.7</v>
      </c>
      <c r="Q203" s="1">
        <v>156.4</v>
      </c>
      <c r="R203" s="1">
        <v>152.1</v>
      </c>
      <c r="S203" s="1">
        <v>145.8</v>
      </c>
      <c r="T203" s="1">
        <v>151.3</v>
      </c>
      <c r="U203" s="1" t="s">
        <v>32</v>
      </c>
      <c r="V203" s="1">
        <v>147.7</v>
      </c>
      <c r="W203" s="1">
        <v>143.8</v>
      </c>
      <c r="X203" s="1">
        <v>139.4</v>
      </c>
      <c r="Y203" s="1">
        <v>128.3</v>
      </c>
      <c r="Z203" s="1">
        <v>138.6</v>
      </c>
      <c r="AA203" s="1">
        <v>146.9</v>
      </c>
      <c r="AB203" s="1">
        <v>131.3</v>
      </c>
      <c r="AC203" s="1">
        <v>136.6</v>
      </c>
      <c r="AD203" s="1">
        <v>142.5</v>
      </c>
    </row>
    <row r="204" ht="15.75" customHeight="1">
      <c r="A204" s="1" t="s">
        <v>33</v>
      </c>
      <c r="B204" s="1">
        <v>2018.0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141.2</v>
      </c>
      <c r="H204" s="1">
        <v>117.4</v>
      </c>
      <c r="I204" s="1">
        <v>146.3</v>
      </c>
      <c r="J204" s="1">
        <v>157.3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140.0</v>
      </c>
      <c r="S204" s="1">
        <v>129.0</v>
      </c>
      <c r="T204" s="1">
        <v>138.3</v>
      </c>
      <c r="U204" s="1">
        <v>144.6</v>
      </c>
      <c r="V204" s="1">
        <v>129.8</v>
      </c>
      <c r="W204" s="1">
        <v>134.4</v>
      </c>
      <c r="X204" s="1">
        <v>134.9</v>
      </c>
      <c r="Y204" s="1">
        <v>120.7</v>
      </c>
      <c r="Z204" s="1">
        <v>129.8</v>
      </c>
      <c r="AA204" s="1">
        <v>145.3</v>
      </c>
      <c r="AB204" s="1">
        <v>128.3</v>
      </c>
      <c r="AC204" s="1">
        <v>131.0</v>
      </c>
      <c r="AD204" s="1">
        <v>138.0</v>
      </c>
    </row>
    <row r="205" ht="15.75" customHeight="1">
      <c r="A205" s="1" t="s">
        <v>34</v>
      </c>
      <c r="B205" s="1">
        <v>2018.0</v>
      </c>
      <c r="C205" s="1" t="s">
        <v>41</v>
      </c>
      <c r="D205" s="1">
        <v>138.3</v>
      </c>
      <c r="E205" s="1">
        <v>148.0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153.0</v>
      </c>
      <c r="P205" s="1">
        <v>141.7</v>
      </c>
      <c r="Q205" s="1">
        <v>157.9</v>
      </c>
      <c r="R205" s="1">
        <v>147.3</v>
      </c>
      <c r="S205" s="1">
        <v>138.8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137.7</v>
      </c>
      <c r="Y205" s="1">
        <v>124.3</v>
      </c>
      <c r="Z205" s="1">
        <v>133.6</v>
      </c>
      <c r="AA205" s="1">
        <v>146.0</v>
      </c>
      <c r="AB205" s="1">
        <v>130.1</v>
      </c>
      <c r="AC205" s="1">
        <v>133.9</v>
      </c>
      <c r="AD205" s="1">
        <v>140.4</v>
      </c>
    </row>
    <row r="206" ht="15.75" customHeight="1">
      <c r="A206" s="1" t="s">
        <v>30</v>
      </c>
      <c r="B206" s="1">
        <v>2018.0</v>
      </c>
      <c r="C206" s="1" t="s">
        <v>42</v>
      </c>
      <c r="D206" s="1">
        <v>139.4</v>
      </c>
      <c r="E206" s="1">
        <v>147.2</v>
      </c>
      <c r="F206" s="1">
        <v>136.6</v>
      </c>
      <c r="G206" s="1">
        <v>143.7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138.7</v>
      </c>
      <c r="N206" s="1">
        <v>133.1</v>
      </c>
      <c r="O206" s="1">
        <v>155.9</v>
      </c>
      <c r="P206" s="1">
        <v>141.3</v>
      </c>
      <c r="Q206" s="1">
        <v>157.7</v>
      </c>
      <c r="R206" s="1">
        <v>152.1</v>
      </c>
      <c r="S206" s="1">
        <v>146.1</v>
      </c>
      <c r="T206" s="1">
        <v>151.3</v>
      </c>
      <c r="U206" s="1" t="s">
        <v>32</v>
      </c>
      <c r="V206" s="1">
        <v>149.0</v>
      </c>
      <c r="W206" s="1">
        <v>144.0</v>
      </c>
      <c r="X206" s="1">
        <v>140.0</v>
      </c>
      <c r="Y206" s="1">
        <v>129.9</v>
      </c>
      <c r="Z206" s="1">
        <v>140.0</v>
      </c>
      <c r="AA206" s="1">
        <v>147.6</v>
      </c>
      <c r="AB206" s="1">
        <v>132.0</v>
      </c>
      <c r="AC206" s="1">
        <v>137.4</v>
      </c>
      <c r="AD206" s="1">
        <v>142.1</v>
      </c>
    </row>
    <row r="207" ht="15.75" customHeight="1">
      <c r="A207" s="1" t="s">
        <v>33</v>
      </c>
      <c r="B207" s="1">
        <v>2018.0</v>
      </c>
      <c r="C207" s="1" t="s">
        <v>42</v>
      </c>
      <c r="D207" s="1">
        <v>137.0</v>
      </c>
      <c r="E207" s="1">
        <v>143.1</v>
      </c>
      <c r="F207" s="1">
        <v>132.8</v>
      </c>
      <c r="G207" s="1">
        <v>141.5</v>
      </c>
      <c r="H207" s="1">
        <v>117.8</v>
      </c>
      <c r="I207" s="1">
        <v>140.0</v>
      </c>
      <c r="J207" s="1">
        <v>151.3</v>
      </c>
      <c r="K207" s="1">
        <v>113.5</v>
      </c>
      <c r="L207" s="1">
        <v>112.3</v>
      </c>
      <c r="M207" s="1">
        <v>141.2</v>
      </c>
      <c r="N207" s="1">
        <v>127.7</v>
      </c>
      <c r="O207" s="1">
        <v>151.3</v>
      </c>
      <c r="P207" s="1">
        <v>138.9</v>
      </c>
      <c r="Q207" s="1">
        <v>163.3</v>
      </c>
      <c r="R207" s="1">
        <v>140.8</v>
      </c>
      <c r="S207" s="1">
        <v>129.3</v>
      </c>
      <c r="T207" s="1">
        <v>139.1</v>
      </c>
      <c r="U207" s="1">
        <v>145.3</v>
      </c>
      <c r="V207" s="1">
        <v>131.2</v>
      </c>
      <c r="W207" s="1">
        <v>134.9</v>
      </c>
      <c r="X207" s="1">
        <v>135.7</v>
      </c>
      <c r="Y207" s="1">
        <v>122.5</v>
      </c>
      <c r="Z207" s="1">
        <v>130.2</v>
      </c>
      <c r="AA207" s="1">
        <v>145.2</v>
      </c>
      <c r="AB207" s="1">
        <v>129.3</v>
      </c>
      <c r="AC207" s="1">
        <v>131.9</v>
      </c>
      <c r="AD207" s="1">
        <v>138.1</v>
      </c>
    </row>
    <row r="208" ht="15.75" customHeight="1">
      <c r="A208" s="1" t="s">
        <v>34</v>
      </c>
      <c r="B208" s="1">
        <v>2018.0</v>
      </c>
      <c r="C208" s="1" t="s">
        <v>42</v>
      </c>
      <c r="D208" s="1">
        <v>138.6</v>
      </c>
      <c r="E208" s="1">
        <v>145.8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150.0</v>
      </c>
      <c r="K208" s="1">
        <v>121.4</v>
      </c>
      <c r="L208" s="1">
        <v>113.7</v>
      </c>
      <c r="M208" s="1">
        <v>139.5</v>
      </c>
      <c r="N208" s="1">
        <v>130.8</v>
      </c>
      <c r="O208" s="1">
        <v>153.8</v>
      </c>
      <c r="P208" s="1">
        <v>140.4</v>
      </c>
      <c r="Q208" s="1">
        <v>159.2</v>
      </c>
      <c r="R208" s="1">
        <v>147.7</v>
      </c>
      <c r="S208" s="1">
        <v>139.1</v>
      </c>
      <c r="T208" s="1">
        <v>146.5</v>
      </c>
      <c r="U208" s="1">
        <v>145.3</v>
      </c>
      <c r="V208" s="1">
        <v>142.3</v>
      </c>
      <c r="W208" s="1">
        <v>139.7</v>
      </c>
      <c r="X208" s="1">
        <v>138.4</v>
      </c>
      <c r="Y208" s="1">
        <v>126.0</v>
      </c>
      <c r="Z208" s="1">
        <v>134.5</v>
      </c>
      <c r="AA208" s="1">
        <v>146.2</v>
      </c>
      <c r="AB208" s="1">
        <v>130.9</v>
      </c>
      <c r="AC208" s="1">
        <v>134.7</v>
      </c>
      <c r="AD208" s="1">
        <v>140.2</v>
      </c>
    </row>
    <row r="209" ht="15.75" customHeight="1">
      <c r="A209" s="1" t="s">
        <v>30</v>
      </c>
      <c r="B209" s="1">
        <v>2018.0</v>
      </c>
      <c r="C209" s="1" t="s">
        <v>43</v>
      </c>
      <c r="D209" s="1">
        <v>139.3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155.2</v>
      </c>
      <c r="P209" s="1">
        <v>140.2</v>
      </c>
      <c r="Q209" s="1">
        <v>159.6</v>
      </c>
      <c r="R209" s="1">
        <v>150.7</v>
      </c>
      <c r="S209" s="1">
        <v>144.5</v>
      </c>
      <c r="T209" s="1">
        <v>149.8</v>
      </c>
      <c r="U209" s="1" t="s">
        <v>32</v>
      </c>
      <c r="V209" s="1">
        <v>149.7</v>
      </c>
      <c r="W209" s="1">
        <v>147.5</v>
      </c>
      <c r="X209" s="1">
        <v>144.8</v>
      </c>
      <c r="Y209" s="1">
        <v>130.8</v>
      </c>
      <c r="Z209" s="1">
        <v>140.1</v>
      </c>
      <c r="AA209" s="1">
        <v>148.0</v>
      </c>
      <c r="AB209" s="1">
        <v>134.4</v>
      </c>
      <c r="AC209" s="1">
        <v>139.8</v>
      </c>
      <c r="AD209" s="1">
        <v>142.2</v>
      </c>
    </row>
    <row r="210" ht="15.75" customHeight="1">
      <c r="A210" s="1" t="s">
        <v>33</v>
      </c>
      <c r="B210" s="1">
        <v>2018.0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118.0</v>
      </c>
      <c r="I210" s="1">
        <v>139.5</v>
      </c>
      <c r="J210" s="1">
        <v>153.0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152.0</v>
      </c>
      <c r="P210" s="1">
        <v>139.4</v>
      </c>
      <c r="Q210" s="1">
        <v>164.0</v>
      </c>
      <c r="R210" s="1">
        <v>141.5</v>
      </c>
      <c r="S210" s="1">
        <v>129.8</v>
      </c>
      <c r="T210" s="1">
        <v>139.7</v>
      </c>
      <c r="U210" s="1">
        <v>146.3</v>
      </c>
      <c r="V210" s="1">
        <v>133.4</v>
      </c>
      <c r="W210" s="1">
        <v>135.1</v>
      </c>
      <c r="X210" s="1">
        <v>136.2</v>
      </c>
      <c r="Y210" s="1">
        <v>123.3</v>
      </c>
      <c r="Z210" s="1">
        <v>130.7</v>
      </c>
      <c r="AA210" s="1">
        <v>145.5</v>
      </c>
      <c r="AB210" s="1">
        <v>130.4</v>
      </c>
      <c r="AC210" s="1">
        <v>132.5</v>
      </c>
      <c r="AD210" s="1">
        <v>138.9</v>
      </c>
    </row>
    <row r="211" ht="15.75" customHeight="1">
      <c r="A211" s="1" t="s">
        <v>34</v>
      </c>
      <c r="B211" s="1">
        <v>2018.0</v>
      </c>
      <c r="C211" s="1" t="s">
        <v>43</v>
      </c>
      <c r="D211" s="1">
        <v>137.4</v>
      </c>
      <c r="E211" s="1">
        <v>149.5</v>
      </c>
      <c r="F211" s="1">
        <v>137.3</v>
      </c>
      <c r="G211" s="1">
        <v>141.9</v>
      </c>
      <c r="H211" s="1">
        <v>121.1</v>
      </c>
      <c r="I211" s="1">
        <v>142.5</v>
      </c>
      <c r="J211" s="1">
        <v>146.7</v>
      </c>
      <c r="K211" s="1">
        <v>119.1</v>
      </c>
      <c r="L211" s="1">
        <v>111.9</v>
      </c>
      <c r="M211" s="1">
        <v>141.0</v>
      </c>
      <c r="N211" s="1">
        <v>133.6</v>
      </c>
      <c r="O211" s="1">
        <v>154.5</v>
      </c>
      <c r="P211" s="1">
        <v>139.7</v>
      </c>
      <c r="Q211" s="1">
        <v>162.6</v>
      </c>
      <c r="R211" s="1">
        <v>148.0</v>
      </c>
      <c r="S211" s="1">
        <v>139.2</v>
      </c>
      <c r="T211" s="1">
        <v>146.8</v>
      </c>
      <c r="U211" s="1">
        <v>146.9</v>
      </c>
      <c r="V211" s="1">
        <v>145.3</v>
      </c>
      <c r="W211" s="1">
        <v>142.2</v>
      </c>
      <c r="X211" s="1">
        <v>142.1</v>
      </c>
      <c r="Y211" s="1">
        <v>125.5</v>
      </c>
      <c r="Z211" s="1">
        <v>136.5</v>
      </c>
      <c r="AA211" s="1">
        <v>147.8</v>
      </c>
      <c r="AB211" s="1">
        <v>132.0</v>
      </c>
      <c r="AC211" s="1">
        <v>136.3</v>
      </c>
      <c r="AD211" s="1">
        <v>140.8</v>
      </c>
    </row>
    <row r="212" ht="15.75" customHeight="1">
      <c r="A212" s="1" t="s">
        <v>30</v>
      </c>
      <c r="B212" s="1">
        <v>2018.0</v>
      </c>
      <c r="C212" s="1" t="s">
        <v>45</v>
      </c>
      <c r="D212" s="1">
        <v>137.1</v>
      </c>
      <c r="E212" s="1">
        <v>150.8</v>
      </c>
      <c r="F212" s="1">
        <v>136.7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121.0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140.0</v>
      </c>
      <c r="Q212" s="1">
        <v>161.9</v>
      </c>
      <c r="R212" s="1">
        <v>151.7</v>
      </c>
      <c r="S212" s="1">
        <v>145.5</v>
      </c>
      <c r="T212" s="1">
        <v>150.8</v>
      </c>
      <c r="U212" s="1" t="s">
        <v>32</v>
      </c>
      <c r="V212" s="1">
        <v>150.3</v>
      </c>
      <c r="W212" s="1">
        <v>148.0</v>
      </c>
      <c r="X212" s="1">
        <v>145.4</v>
      </c>
      <c r="Y212" s="1">
        <v>130.3</v>
      </c>
      <c r="Z212" s="1">
        <v>143.1</v>
      </c>
      <c r="AA212" s="1">
        <v>150.2</v>
      </c>
      <c r="AB212" s="1">
        <v>133.1</v>
      </c>
      <c r="AC212" s="1">
        <v>140.1</v>
      </c>
      <c r="AD212" s="1">
        <v>142.4</v>
      </c>
    </row>
    <row r="213" ht="15.75" customHeight="1">
      <c r="A213" s="1" t="s">
        <v>33</v>
      </c>
      <c r="B213" s="1">
        <v>2018.0</v>
      </c>
      <c r="C213" s="1" t="s">
        <v>45</v>
      </c>
      <c r="D213" s="1">
        <v>138.1</v>
      </c>
      <c r="E213" s="1">
        <v>146.3</v>
      </c>
      <c r="F213" s="1">
        <v>137.8</v>
      </c>
      <c r="G213" s="1">
        <v>141.6</v>
      </c>
      <c r="H213" s="1">
        <v>118.1</v>
      </c>
      <c r="I213" s="1">
        <v>141.5</v>
      </c>
      <c r="J213" s="1">
        <v>145.2</v>
      </c>
      <c r="K213" s="1">
        <v>115.3</v>
      </c>
      <c r="L213" s="1">
        <v>112.5</v>
      </c>
      <c r="M213" s="1">
        <v>141.4</v>
      </c>
      <c r="N213" s="1">
        <v>128.0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130.2</v>
      </c>
      <c r="T213" s="1">
        <v>140.5</v>
      </c>
      <c r="U213" s="1">
        <v>146.9</v>
      </c>
      <c r="V213" s="1">
        <v>136.7</v>
      </c>
      <c r="W213" s="1">
        <v>135.8</v>
      </c>
      <c r="X213" s="1">
        <v>136.8</v>
      </c>
      <c r="Y213" s="1">
        <v>121.2</v>
      </c>
      <c r="Z213" s="1">
        <v>131.3</v>
      </c>
      <c r="AA213" s="1">
        <v>146.1</v>
      </c>
      <c r="AB213" s="1">
        <v>130.5</v>
      </c>
      <c r="AC213" s="1">
        <v>132.2</v>
      </c>
      <c r="AD213" s="1">
        <v>139.0</v>
      </c>
    </row>
    <row r="214" ht="15.75" customHeight="1">
      <c r="A214" s="1" t="s">
        <v>34</v>
      </c>
      <c r="B214" s="1">
        <v>2018.0</v>
      </c>
      <c r="C214" s="1" t="s">
        <v>45</v>
      </c>
      <c r="D214" s="1">
        <v>137.4</v>
      </c>
      <c r="E214" s="1">
        <v>149.2</v>
      </c>
      <c r="F214" s="1">
        <v>137.1</v>
      </c>
      <c r="G214" s="1">
        <v>141.8</v>
      </c>
      <c r="H214" s="1">
        <v>121.1</v>
      </c>
      <c r="I214" s="1">
        <v>142.8</v>
      </c>
      <c r="J214" s="1">
        <v>146.7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139.7</v>
      </c>
      <c r="Q214" s="1">
        <v>162.6</v>
      </c>
      <c r="R214" s="1">
        <v>148.0</v>
      </c>
      <c r="S214" s="1">
        <v>139.1</v>
      </c>
      <c r="T214" s="1">
        <v>146.7</v>
      </c>
      <c r="U214" s="1">
        <v>146.9</v>
      </c>
      <c r="V214" s="1">
        <v>145.1</v>
      </c>
      <c r="W214" s="1">
        <v>142.2</v>
      </c>
      <c r="X214" s="1">
        <v>142.1</v>
      </c>
      <c r="Y214" s="1">
        <v>125.5</v>
      </c>
      <c r="Z214" s="1">
        <v>136.5</v>
      </c>
      <c r="AA214" s="1">
        <v>147.8</v>
      </c>
      <c r="AB214" s="1">
        <v>132.0</v>
      </c>
      <c r="AC214" s="1">
        <v>136.3</v>
      </c>
      <c r="AD214" s="1">
        <v>140.8</v>
      </c>
    </row>
    <row r="215" ht="15.75" customHeight="1">
      <c r="A215" s="1" t="s">
        <v>30</v>
      </c>
      <c r="B215" s="1">
        <v>2018.0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140.2</v>
      </c>
      <c r="J215" s="1">
        <v>136.6</v>
      </c>
      <c r="K215" s="1">
        <v>120.9</v>
      </c>
      <c r="L215" s="1">
        <v>109.9</v>
      </c>
      <c r="M215" s="1">
        <v>140.2</v>
      </c>
      <c r="N215" s="1">
        <v>137.8</v>
      </c>
      <c r="O215" s="1">
        <v>156.0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</v>
      </c>
      <c r="U215" s="1" t="s">
        <v>32</v>
      </c>
      <c r="V215" s="1">
        <v>149.0</v>
      </c>
      <c r="W215" s="1">
        <v>149.5</v>
      </c>
      <c r="X215" s="1">
        <v>149.6</v>
      </c>
      <c r="Y215" s="1">
        <v>128.9</v>
      </c>
      <c r="Z215" s="1">
        <v>143.3</v>
      </c>
      <c r="AA215" s="1">
        <v>155.1</v>
      </c>
      <c r="AB215" s="1">
        <v>133.2</v>
      </c>
      <c r="AC215" s="1">
        <v>141.6</v>
      </c>
      <c r="AD215" s="1">
        <v>141.9</v>
      </c>
    </row>
    <row r="216" ht="15.75" customHeight="1">
      <c r="A216" s="1" t="s">
        <v>33</v>
      </c>
      <c r="B216" s="1">
        <v>2018.0</v>
      </c>
      <c r="C216" s="1" t="s">
        <v>46</v>
      </c>
      <c r="D216" s="1">
        <v>138.5</v>
      </c>
      <c r="E216" s="1">
        <v>147.8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111.0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142.7</v>
      </c>
      <c r="S216" s="1">
        <v>130.3</v>
      </c>
      <c r="T216" s="1">
        <v>140.8</v>
      </c>
      <c r="U216" s="1">
        <v>146.5</v>
      </c>
      <c r="V216" s="1">
        <v>132.4</v>
      </c>
      <c r="W216" s="1">
        <v>136.2</v>
      </c>
      <c r="X216" s="1">
        <v>137.3</v>
      </c>
      <c r="Y216" s="1">
        <v>118.8</v>
      </c>
      <c r="Z216" s="1">
        <v>131.7</v>
      </c>
      <c r="AA216" s="1">
        <v>146.5</v>
      </c>
      <c r="AB216" s="1">
        <v>130.8</v>
      </c>
      <c r="AC216" s="1">
        <v>131.7</v>
      </c>
      <c r="AD216" s="1">
        <v>138.0</v>
      </c>
    </row>
    <row r="217" ht="15.75" customHeight="1">
      <c r="A217" s="1" t="s">
        <v>34</v>
      </c>
      <c r="B217" s="1">
        <v>2018.0</v>
      </c>
      <c r="C217" s="1" t="s">
        <v>46</v>
      </c>
      <c r="D217" s="1">
        <v>137.5</v>
      </c>
      <c r="E217" s="1">
        <v>150.5</v>
      </c>
      <c r="F217" s="1">
        <v>138.8</v>
      </c>
      <c r="G217" s="1">
        <v>142.1</v>
      </c>
      <c r="H217" s="1">
        <v>122.0</v>
      </c>
      <c r="I217" s="1">
        <v>139.4</v>
      </c>
      <c r="J217" s="1">
        <v>135.2</v>
      </c>
      <c r="K217" s="1">
        <v>119.8</v>
      </c>
      <c r="L217" s="1">
        <v>110.3</v>
      </c>
      <c r="M217" s="1">
        <v>140.6</v>
      </c>
      <c r="N217" s="1">
        <v>133.8</v>
      </c>
      <c r="O217" s="1">
        <v>154.6</v>
      </c>
      <c r="P217" s="1">
        <v>138.2</v>
      </c>
      <c r="Q217" s="1">
        <v>163.0</v>
      </c>
      <c r="R217" s="1">
        <v>148.1</v>
      </c>
      <c r="S217" s="1">
        <v>139.4</v>
      </c>
      <c r="T217" s="1">
        <v>146.8</v>
      </c>
      <c r="U217" s="1">
        <v>146.5</v>
      </c>
      <c r="V217" s="1">
        <v>142.7</v>
      </c>
      <c r="W217" s="1">
        <v>143.2</v>
      </c>
      <c r="X217" s="1">
        <v>144.9</v>
      </c>
      <c r="Y217" s="1">
        <v>123.6</v>
      </c>
      <c r="Z217" s="1">
        <v>136.8</v>
      </c>
      <c r="AA217" s="1">
        <v>150.1</v>
      </c>
      <c r="AB217" s="1">
        <v>132.2</v>
      </c>
      <c r="AC217" s="1">
        <v>136.8</v>
      </c>
      <c r="AD217" s="1">
        <v>140.1</v>
      </c>
    </row>
    <row r="218" ht="15.75" customHeight="1">
      <c r="A218" s="1" t="s">
        <v>30</v>
      </c>
      <c r="B218" s="1">
        <v>2019.0</v>
      </c>
      <c r="C218" s="1" t="s">
        <v>31</v>
      </c>
      <c r="D218" s="1">
        <v>136.6</v>
      </c>
      <c r="E218" s="1">
        <v>152.5</v>
      </c>
      <c r="F218" s="1">
        <v>138.2</v>
      </c>
      <c r="G218" s="1">
        <v>142.4</v>
      </c>
      <c r="H218" s="1">
        <v>123.9</v>
      </c>
      <c r="I218" s="1">
        <v>135.5</v>
      </c>
      <c r="J218" s="1">
        <v>131.7</v>
      </c>
      <c r="K218" s="1">
        <v>121.3</v>
      </c>
      <c r="L218" s="1">
        <v>108.4</v>
      </c>
      <c r="M218" s="1">
        <v>138.9</v>
      </c>
      <c r="N218" s="1">
        <v>137.0</v>
      </c>
      <c r="O218" s="1">
        <v>155.8</v>
      </c>
      <c r="P218" s="1">
        <v>137.4</v>
      </c>
      <c r="Q218" s="1">
        <v>162.7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146.2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155.2</v>
      </c>
      <c r="AB218" s="1">
        <v>133.5</v>
      </c>
      <c r="AC218" s="1">
        <v>141.7</v>
      </c>
      <c r="AD218" s="1">
        <v>141.0</v>
      </c>
    </row>
    <row r="219" ht="15.75" customHeight="1">
      <c r="A219" s="1" t="s">
        <v>33</v>
      </c>
      <c r="B219" s="1">
        <v>2019.0</v>
      </c>
      <c r="C219" s="1" t="s">
        <v>31</v>
      </c>
      <c r="D219" s="1">
        <v>138.3</v>
      </c>
      <c r="E219" s="1">
        <v>149.4</v>
      </c>
      <c r="F219" s="1">
        <v>143.5</v>
      </c>
      <c r="G219" s="1">
        <v>141.7</v>
      </c>
      <c r="H219" s="1">
        <v>118.1</v>
      </c>
      <c r="I219" s="1">
        <v>135.2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153.2</v>
      </c>
      <c r="P219" s="1">
        <v>137.3</v>
      </c>
      <c r="Q219" s="1">
        <v>164.7</v>
      </c>
      <c r="R219" s="1">
        <v>143.0</v>
      </c>
      <c r="S219" s="1">
        <v>130.4</v>
      </c>
      <c r="T219" s="1">
        <v>141.1</v>
      </c>
      <c r="U219" s="1">
        <v>147.7</v>
      </c>
      <c r="V219" s="1">
        <v>128.6</v>
      </c>
      <c r="W219" s="1">
        <v>136.3</v>
      </c>
      <c r="X219" s="1">
        <v>137.8</v>
      </c>
      <c r="Y219" s="1">
        <v>118.6</v>
      </c>
      <c r="Z219" s="1">
        <v>131.9</v>
      </c>
      <c r="AA219" s="1">
        <v>146.6</v>
      </c>
      <c r="AB219" s="1">
        <v>131.7</v>
      </c>
      <c r="AC219" s="1">
        <v>131.8</v>
      </c>
      <c r="AD219" s="1">
        <v>138.0</v>
      </c>
    </row>
    <row r="220" ht="15.75" customHeight="1">
      <c r="A220" s="1" t="s">
        <v>34</v>
      </c>
      <c r="B220" s="1">
        <v>2019.0</v>
      </c>
      <c r="C220" s="1" t="s">
        <v>31</v>
      </c>
      <c r="D220" s="1">
        <v>137.1</v>
      </c>
      <c r="E220" s="1">
        <v>151.4</v>
      </c>
      <c r="F220" s="1">
        <v>140.2</v>
      </c>
      <c r="G220" s="1">
        <v>142.1</v>
      </c>
      <c r="H220" s="1">
        <v>121.8</v>
      </c>
      <c r="I220" s="1">
        <v>135.4</v>
      </c>
      <c r="J220" s="1">
        <v>131.3</v>
      </c>
      <c r="K220" s="1">
        <v>120.3</v>
      </c>
      <c r="L220" s="1">
        <v>109.1</v>
      </c>
      <c r="M220" s="1">
        <v>139.4</v>
      </c>
      <c r="N220" s="1">
        <v>133.3</v>
      </c>
      <c r="O220" s="1">
        <v>154.6</v>
      </c>
      <c r="P220" s="1">
        <v>137.4</v>
      </c>
      <c r="Q220" s="1">
        <v>163.2</v>
      </c>
      <c r="R220" s="1">
        <v>147.6</v>
      </c>
      <c r="S220" s="1">
        <v>139.0</v>
      </c>
      <c r="T220" s="1">
        <v>146.4</v>
      </c>
      <c r="U220" s="1">
        <v>147.7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136.7</v>
      </c>
      <c r="AA220" s="1">
        <v>150.2</v>
      </c>
      <c r="AB220" s="1">
        <v>132.8</v>
      </c>
      <c r="AC220" s="1">
        <v>136.9</v>
      </c>
      <c r="AD220" s="1">
        <v>139.6</v>
      </c>
    </row>
    <row r="221" ht="15.75" customHeight="1">
      <c r="A221" s="1" t="s">
        <v>30</v>
      </c>
      <c r="B221" s="1">
        <v>2019.0</v>
      </c>
      <c r="C221" s="1" t="s">
        <v>35</v>
      </c>
      <c r="D221" s="1">
        <v>136.8</v>
      </c>
      <c r="E221" s="1">
        <v>153.0</v>
      </c>
      <c r="F221" s="1">
        <v>139.1</v>
      </c>
      <c r="G221" s="1">
        <v>142.5</v>
      </c>
      <c r="H221" s="1">
        <v>124.1</v>
      </c>
      <c r="I221" s="1">
        <v>135.8</v>
      </c>
      <c r="J221" s="1">
        <v>128.7</v>
      </c>
      <c r="K221" s="1">
        <v>121.5</v>
      </c>
      <c r="L221" s="1">
        <v>108.3</v>
      </c>
      <c r="M221" s="1">
        <v>139.2</v>
      </c>
      <c r="N221" s="1">
        <v>137.4</v>
      </c>
      <c r="O221" s="1">
        <v>156.2</v>
      </c>
      <c r="P221" s="1">
        <v>137.2</v>
      </c>
      <c r="Q221" s="1">
        <v>162.8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</v>
      </c>
      <c r="W221" s="1">
        <v>150.1</v>
      </c>
      <c r="X221" s="1">
        <v>149.9</v>
      </c>
      <c r="Y221" s="1">
        <v>129.2</v>
      </c>
      <c r="Z221" s="1">
        <v>143.4</v>
      </c>
      <c r="AA221" s="1">
        <v>155.5</v>
      </c>
      <c r="AB221" s="1">
        <v>134.9</v>
      </c>
      <c r="AC221" s="1">
        <v>142.2</v>
      </c>
      <c r="AD221" s="1">
        <v>141.0</v>
      </c>
    </row>
    <row r="222" ht="15.75" customHeight="1">
      <c r="A222" s="1" t="s">
        <v>33</v>
      </c>
      <c r="B222" s="1">
        <v>2019.0</v>
      </c>
      <c r="C222" s="1" t="s">
        <v>35</v>
      </c>
      <c r="D222" s="1">
        <v>139.4</v>
      </c>
      <c r="E222" s="1">
        <v>150.1</v>
      </c>
      <c r="F222" s="1">
        <v>145.3</v>
      </c>
      <c r="G222" s="1">
        <v>141.7</v>
      </c>
      <c r="H222" s="1">
        <v>118.4</v>
      </c>
      <c r="I222" s="1">
        <v>137.0</v>
      </c>
      <c r="J222" s="1">
        <v>131.6</v>
      </c>
      <c r="K222" s="1">
        <v>119.9</v>
      </c>
      <c r="L222" s="1">
        <v>110.4</v>
      </c>
      <c r="M222" s="1">
        <v>140.8</v>
      </c>
      <c r="N222" s="1">
        <v>128.3</v>
      </c>
      <c r="O222" s="1">
        <v>153.5</v>
      </c>
      <c r="P222" s="1">
        <v>138.0</v>
      </c>
      <c r="Q222" s="1">
        <v>164.9</v>
      </c>
      <c r="R222" s="1">
        <v>143.3</v>
      </c>
      <c r="S222" s="1">
        <v>130.8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132.2</v>
      </c>
      <c r="AA222" s="1">
        <v>146.6</v>
      </c>
      <c r="AB222" s="1">
        <v>133.0</v>
      </c>
      <c r="AC222" s="1">
        <v>132.4</v>
      </c>
      <c r="AD222" s="1">
        <v>138.6</v>
      </c>
    </row>
    <row r="223" ht="15.75" customHeight="1">
      <c r="A223" s="1" t="s">
        <v>34</v>
      </c>
      <c r="B223" s="1">
        <v>2019.0</v>
      </c>
      <c r="C223" s="1" t="s">
        <v>35</v>
      </c>
      <c r="D223" s="1">
        <v>137.6</v>
      </c>
      <c r="E223" s="1">
        <v>152.0</v>
      </c>
      <c r="F223" s="1">
        <v>141.5</v>
      </c>
      <c r="G223" s="1">
        <v>142.2</v>
      </c>
      <c r="H223" s="1">
        <v>122.0</v>
      </c>
      <c r="I223" s="1">
        <v>136.4</v>
      </c>
      <c r="J223" s="1">
        <v>129.7</v>
      </c>
      <c r="K223" s="1">
        <v>121.0</v>
      </c>
      <c r="L223" s="1">
        <v>109.0</v>
      </c>
      <c r="M223" s="1">
        <v>139.7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147.7</v>
      </c>
      <c r="S223" s="1">
        <v>139.7</v>
      </c>
      <c r="T223" s="1">
        <v>146.5</v>
      </c>
      <c r="U223" s="1">
        <v>148.5</v>
      </c>
      <c r="V223" s="1">
        <v>138.4</v>
      </c>
      <c r="W223" s="1">
        <v>143.7</v>
      </c>
      <c r="X223" s="1">
        <v>145.6</v>
      </c>
      <c r="Y223" s="1">
        <v>123.9</v>
      </c>
      <c r="Z223" s="1">
        <v>137.1</v>
      </c>
      <c r="AA223" s="1">
        <v>150.3</v>
      </c>
      <c r="AB223" s="1">
        <v>134.1</v>
      </c>
      <c r="AC223" s="1">
        <v>137.4</v>
      </c>
      <c r="AD223" s="1">
        <v>139.9</v>
      </c>
    </row>
    <row r="224" ht="15.75" customHeight="1">
      <c r="A224" s="1" t="s">
        <v>30</v>
      </c>
      <c r="B224" s="1">
        <v>2019.0</v>
      </c>
      <c r="C224" s="1" t="s">
        <v>36</v>
      </c>
      <c r="D224" s="1">
        <v>136.9</v>
      </c>
      <c r="E224" s="1">
        <v>154.1</v>
      </c>
      <c r="F224" s="1">
        <v>138.7</v>
      </c>
      <c r="G224" s="1">
        <v>142.5</v>
      </c>
      <c r="H224" s="1">
        <v>124.1</v>
      </c>
      <c r="I224" s="1">
        <v>136.1</v>
      </c>
      <c r="J224" s="1">
        <v>128.2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</v>
      </c>
      <c r="Q224" s="1">
        <v>162.9</v>
      </c>
      <c r="R224" s="1">
        <v>150.8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150.0</v>
      </c>
      <c r="X224" s="1">
        <v>150.4</v>
      </c>
      <c r="Y224" s="1">
        <v>129.9</v>
      </c>
      <c r="Z224" s="1">
        <v>143.8</v>
      </c>
      <c r="AA224" s="1">
        <v>155.5</v>
      </c>
      <c r="AB224" s="1">
        <v>134.0</v>
      </c>
      <c r="AC224" s="1">
        <v>142.4</v>
      </c>
      <c r="AD224" s="1">
        <v>141.2</v>
      </c>
    </row>
    <row r="225" ht="15.75" customHeight="1">
      <c r="A225" s="1" t="s">
        <v>33</v>
      </c>
      <c r="B225" s="1">
        <v>2019.0</v>
      </c>
      <c r="C225" s="1" t="s">
        <v>36</v>
      </c>
      <c r="D225" s="1">
        <v>139.7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141.2</v>
      </c>
      <c r="K225" s="1">
        <v>120.7</v>
      </c>
      <c r="L225" s="1">
        <v>110.4</v>
      </c>
      <c r="M225" s="1">
        <v>140.7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131.2</v>
      </c>
      <c r="T225" s="1">
        <v>141.6</v>
      </c>
      <c r="U225" s="1">
        <v>149.0</v>
      </c>
      <c r="V225" s="1">
        <v>128.8</v>
      </c>
      <c r="W225" s="1">
        <v>136.8</v>
      </c>
      <c r="X225" s="1">
        <v>139.2</v>
      </c>
      <c r="Y225" s="1">
        <v>119.9</v>
      </c>
      <c r="Z225" s="1">
        <v>133.0</v>
      </c>
      <c r="AA225" s="1">
        <v>146.7</v>
      </c>
      <c r="AB225" s="1">
        <v>132.5</v>
      </c>
      <c r="AC225" s="1">
        <v>132.8</v>
      </c>
      <c r="AD225" s="1">
        <v>139.5</v>
      </c>
    </row>
    <row r="226" ht="15.75" customHeight="1">
      <c r="A226" s="1" t="s">
        <v>34</v>
      </c>
      <c r="B226" s="1">
        <v>2019.0</v>
      </c>
      <c r="C226" s="1" t="s">
        <v>36</v>
      </c>
      <c r="D226" s="1">
        <v>137.8</v>
      </c>
      <c r="E226" s="1">
        <v>153.0</v>
      </c>
      <c r="F226" s="1">
        <v>140.3</v>
      </c>
      <c r="G226" s="1">
        <v>142.3</v>
      </c>
      <c r="H226" s="1">
        <v>122.0</v>
      </c>
      <c r="I226" s="1">
        <v>137.6</v>
      </c>
      <c r="J226" s="1">
        <v>132.6</v>
      </c>
      <c r="K226" s="1">
        <v>121.8</v>
      </c>
      <c r="L226" s="1">
        <v>109.0</v>
      </c>
      <c r="M226" s="1">
        <v>139.5</v>
      </c>
      <c r="N226" s="1">
        <v>133.7</v>
      </c>
      <c r="O226" s="1">
        <v>155.2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146.7</v>
      </c>
      <c r="U226" s="1">
        <v>149.0</v>
      </c>
      <c r="V226" s="1">
        <v>139.7</v>
      </c>
      <c r="W226" s="1">
        <v>143.8</v>
      </c>
      <c r="X226" s="1">
        <v>146.2</v>
      </c>
      <c r="Y226" s="1">
        <v>124.6</v>
      </c>
      <c r="Z226" s="1">
        <v>137.7</v>
      </c>
      <c r="AA226" s="1">
        <v>150.3</v>
      </c>
      <c r="AB226" s="1">
        <v>133.4</v>
      </c>
      <c r="AC226" s="1">
        <v>137.7</v>
      </c>
      <c r="AD226" s="1">
        <v>140.4</v>
      </c>
    </row>
    <row r="227" ht="15.75" customHeight="1">
      <c r="A227" s="1" t="s">
        <v>30</v>
      </c>
      <c r="B227" s="1">
        <v>2019.0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124.0</v>
      </c>
      <c r="I227" s="1">
        <v>143.7</v>
      </c>
      <c r="J227" s="1">
        <v>133.4</v>
      </c>
      <c r="K227" s="1">
        <v>125.1</v>
      </c>
      <c r="L227" s="1">
        <v>109.3</v>
      </c>
      <c r="M227" s="1">
        <v>139.3</v>
      </c>
      <c r="N227" s="1">
        <v>137.7</v>
      </c>
      <c r="O227" s="1">
        <v>156.4</v>
      </c>
      <c r="P227" s="1">
        <v>139.2</v>
      </c>
      <c r="Q227" s="1">
        <v>163.3</v>
      </c>
      <c r="R227" s="1">
        <v>151.3</v>
      </c>
      <c r="S227" s="1">
        <v>146.6</v>
      </c>
      <c r="T227" s="1">
        <v>150.7</v>
      </c>
      <c r="U227" s="1" t="s">
        <v>32</v>
      </c>
      <c r="V227" s="1">
        <v>146.9</v>
      </c>
      <c r="W227" s="1">
        <v>149.5</v>
      </c>
      <c r="X227" s="1">
        <v>151.3</v>
      </c>
      <c r="Y227" s="1">
        <v>130.2</v>
      </c>
      <c r="Z227" s="1">
        <v>145.9</v>
      </c>
      <c r="AA227" s="1">
        <v>156.7</v>
      </c>
      <c r="AB227" s="1">
        <v>133.9</v>
      </c>
      <c r="AC227" s="1">
        <v>142.9</v>
      </c>
      <c r="AD227" s="1">
        <v>142.4</v>
      </c>
    </row>
    <row r="228" ht="15.75" customHeight="1">
      <c r="A228" s="1" t="s">
        <v>33</v>
      </c>
      <c r="B228" s="1">
        <v>2019.0</v>
      </c>
      <c r="C228" s="1" t="s">
        <v>38</v>
      </c>
      <c r="D228" s="1">
        <v>140.4</v>
      </c>
      <c r="E228" s="1">
        <v>156.7</v>
      </c>
      <c r="F228" s="1">
        <v>138.3</v>
      </c>
      <c r="G228" s="1">
        <v>142.4</v>
      </c>
      <c r="H228" s="1">
        <v>118.6</v>
      </c>
      <c r="I228" s="1">
        <v>149.7</v>
      </c>
      <c r="J228" s="1">
        <v>161.6</v>
      </c>
      <c r="K228" s="1">
        <v>124.4</v>
      </c>
      <c r="L228" s="1">
        <v>111.2</v>
      </c>
      <c r="M228" s="1">
        <v>141.0</v>
      </c>
      <c r="N228" s="1">
        <v>128.9</v>
      </c>
      <c r="O228" s="1">
        <v>154.5</v>
      </c>
      <c r="P228" s="1">
        <v>143.8</v>
      </c>
      <c r="Q228" s="1">
        <v>166.2</v>
      </c>
      <c r="R228" s="1">
        <v>144.0</v>
      </c>
      <c r="S228" s="1">
        <v>131.7</v>
      </c>
      <c r="T228" s="1">
        <v>142.2</v>
      </c>
      <c r="U228" s="1">
        <v>150.1</v>
      </c>
      <c r="V228" s="1">
        <v>129.4</v>
      </c>
      <c r="W228" s="1">
        <v>137.2</v>
      </c>
      <c r="X228" s="1">
        <v>139.8</v>
      </c>
      <c r="Y228" s="1">
        <v>120.1</v>
      </c>
      <c r="Z228" s="1">
        <v>134.0</v>
      </c>
      <c r="AA228" s="1">
        <v>148.0</v>
      </c>
      <c r="AB228" s="1">
        <v>132.6</v>
      </c>
      <c r="AC228" s="1">
        <v>133.3</v>
      </c>
      <c r="AD228" s="1">
        <v>141.5</v>
      </c>
    </row>
    <row r="229" ht="15.75" customHeight="1">
      <c r="A229" s="1" t="s">
        <v>34</v>
      </c>
      <c r="B229" s="1">
        <v>2019.0</v>
      </c>
      <c r="C229" s="1" t="s">
        <v>38</v>
      </c>
      <c r="D229" s="1">
        <v>138.3</v>
      </c>
      <c r="E229" s="1">
        <v>158.5</v>
      </c>
      <c r="F229" s="1">
        <v>136.0</v>
      </c>
      <c r="G229" s="1">
        <v>142.5</v>
      </c>
      <c r="H229" s="1">
        <v>122.0</v>
      </c>
      <c r="I229" s="1">
        <v>146.5</v>
      </c>
      <c r="J229" s="1">
        <v>143.0</v>
      </c>
      <c r="K229" s="1">
        <v>124.9</v>
      </c>
      <c r="L229" s="1">
        <v>109.9</v>
      </c>
      <c r="M229" s="1">
        <v>139.9</v>
      </c>
      <c r="N229" s="1">
        <v>134.0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</v>
      </c>
      <c r="U229" s="1">
        <v>150.1</v>
      </c>
      <c r="V229" s="1">
        <v>140.3</v>
      </c>
      <c r="W229" s="1">
        <v>143.7</v>
      </c>
      <c r="X229" s="1">
        <v>146.9</v>
      </c>
      <c r="Y229" s="1">
        <v>124.9</v>
      </c>
      <c r="Z229" s="1">
        <v>139.2</v>
      </c>
      <c r="AA229" s="1">
        <v>151.6</v>
      </c>
      <c r="AB229" s="1">
        <v>133.4</v>
      </c>
      <c r="AC229" s="1">
        <v>138.2</v>
      </c>
      <c r="AD229" s="1">
        <v>142.0</v>
      </c>
    </row>
    <row r="230" ht="15.75" customHeight="1">
      <c r="A230" s="1" t="s">
        <v>30</v>
      </c>
      <c r="B230" s="1">
        <v>2019.0</v>
      </c>
      <c r="C230" s="1" t="s">
        <v>39</v>
      </c>
      <c r="D230" s="1">
        <v>137.8</v>
      </c>
      <c r="E230" s="1">
        <v>163.5</v>
      </c>
      <c r="F230" s="1">
        <v>136.2</v>
      </c>
      <c r="G230" s="1">
        <v>143.2</v>
      </c>
      <c r="H230" s="1">
        <v>124.3</v>
      </c>
      <c r="I230" s="1">
        <v>143.3</v>
      </c>
      <c r="J230" s="1">
        <v>140.6</v>
      </c>
      <c r="K230" s="1">
        <v>128.7</v>
      </c>
      <c r="L230" s="1">
        <v>110.6</v>
      </c>
      <c r="M230" s="1">
        <v>140.4</v>
      </c>
      <c r="N230" s="1">
        <v>138.0</v>
      </c>
      <c r="O230" s="1">
        <v>156.6</v>
      </c>
      <c r="P230" s="1">
        <v>141.0</v>
      </c>
      <c r="Q230" s="1">
        <v>164.2</v>
      </c>
      <c r="R230" s="1">
        <v>151.4</v>
      </c>
      <c r="S230" s="1">
        <v>146.5</v>
      </c>
      <c r="T230" s="1">
        <v>150.7</v>
      </c>
      <c r="U230" s="1" t="s">
        <v>32</v>
      </c>
      <c r="V230" s="1">
        <v>147.8</v>
      </c>
      <c r="W230" s="1">
        <v>149.6</v>
      </c>
      <c r="X230" s="1">
        <v>151.7</v>
      </c>
      <c r="Y230" s="1">
        <v>130.2</v>
      </c>
      <c r="Z230" s="1">
        <v>146.4</v>
      </c>
      <c r="AA230" s="1">
        <v>157.7</v>
      </c>
      <c r="AB230" s="1">
        <v>134.8</v>
      </c>
      <c r="AC230" s="1">
        <v>143.3</v>
      </c>
      <c r="AD230" s="1">
        <v>143.6</v>
      </c>
    </row>
    <row r="231" ht="15.75" customHeight="1">
      <c r="A231" s="1" t="s">
        <v>33</v>
      </c>
      <c r="B231" s="1">
        <v>2019.0</v>
      </c>
      <c r="C231" s="1" t="s">
        <v>39</v>
      </c>
      <c r="D231" s="1">
        <v>140.7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141.0</v>
      </c>
      <c r="N231" s="1">
        <v>129.0</v>
      </c>
      <c r="O231" s="1">
        <v>155.1</v>
      </c>
      <c r="P231" s="1">
        <v>145.6</v>
      </c>
      <c r="Q231" s="1">
        <v>166.7</v>
      </c>
      <c r="R231" s="1">
        <v>144.3</v>
      </c>
      <c r="S231" s="1">
        <v>131.7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</v>
      </c>
      <c r="Y231" s="1">
        <v>119.6</v>
      </c>
      <c r="Z231" s="1">
        <v>134.3</v>
      </c>
      <c r="AA231" s="1">
        <v>148.9</v>
      </c>
      <c r="AB231" s="1">
        <v>133.7</v>
      </c>
      <c r="AC231" s="1">
        <v>133.6</v>
      </c>
      <c r="AD231" s="1">
        <v>142.1</v>
      </c>
    </row>
    <row r="232" ht="15.75" customHeight="1">
      <c r="A232" s="1" t="s">
        <v>34</v>
      </c>
      <c r="B232" s="1">
        <v>2019.0</v>
      </c>
      <c r="C232" s="1" t="s">
        <v>39</v>
      </c>
      <c r="D232" s="1">
        <v>138.7</v>
      </c>
      <c r="E232" s="1">
        <v>162.1</v>
      </c>
      <c r="F232" s="1">
        <v>137.8</v>
      </c>
      <c r="G232" s="1">
        <v>143.3</v>
      </c>
      <c r="H232" s="1">
        <v>122.2</v>
      </c>
      <c r="I232" s="1">
        <v>146.8</v>
      </c>
      <c r="J232" s="1">
        <v>150.5</v>
      </c>
      <c r="K232" s="1">
        <v>128.3</v>
      </c>
      <c r="L232" s="1">
        <v>111.0</v>
      </c>
      <c r="M232" s="1">
        <v>140.6</v>
      </c>
      <c r="N232" s="1">
        <v>134.2</v>
      </c>
      <c r="O232" s="1">
        <v>155.9</v>
      </c>
      <c r="P232" s="1">
        <v>142.7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141.2</v>
      </c>
      <c r="W232" s="1">
        <v>143.8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</v>
      </c>
      <c r="AC232" s="1">
        <v>138.6</v>
      </c>
      <c r="AD232" s="1">
        <v>142.9</v>
      </c>
    </row>
    <row r="233" ht="15.75" customHeight="1">
      <c r="A233" s="1" t="s">
        <v>30</v>
      </c>
      <c r="B233" s="1">
        <v>2019.0</v>
      </c>
      <c r="C233" s="1" t="s">
        <v>40</v>
      </c>
      <c r="D233" s="1">
        <v>138.4</v>
      </c>
      <c r="E233" s="1">
        <v>164.0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141.7</v>
      </c>
      <c r="N233" s="1">
        <v>138.5</v>
      </c>
      <c r="O233" s="1">
        <v>156.7</v>
      </c>
      <c r="P233" s="1">
        <v>143.0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</v>
      </c>
      <c r="W233" s="1">
        <v>150.0</v>
      </c>
      <c r="X233" s="1">
        <v>152.2</v>
      </c>
      <c r="Y233" s="1">
        <v>131.2</v>
      </c>
      <c r="Z233" s="1">
        <v>147.5</v>
      </c>
      <c r="AA233" s="1">
        <v>159.1</v>
      </c>
      <c r="AB233" s="1">
        <v>136.1</v>
      </c>
      <c r="AC233" s="1">
        <v>144.2</v>
      </c>
      <c r="AD233" s="1">
        <v>144.9</v>
      </c>
    </row>
    <row r="234" ht="15.75" customHeight="1">
      <c r="A234" s="1" t="s">
        <v>33</v>
      </c>
      <c r="B234" s="1">
        <v>2019.0</v>
      </c>
      <c r="C234" s="1" t="s">
        <v>40</v>
      </c>
      <c r="D234" s="1">
        <v>141.4</v>
      </c>
      <c r="E234" s="1">
        <v>160.2</v>
      </c>
      <c r="F234" s="1">
        <v>142.5</v>
      </c>
      <c r="G234" s="1">
        <v>144.1</v>
      </c>
      <c r="H234" s="1">
        <v>119.3</v>
      </c>
      <c r="I234" s="1">
        <v>154.7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147.7</v>
      </c>
      <c r="Q234" s="1">
        <v>167.2</v>
      </c>
      <c r="R234" s="1">
        <v>144.7</v>
      </c>
      <c r="S234" s="1">
        <v>131.9</v>
      </c>
      <c r="T234" s="1">
        <v>142.7</v>
      </c>
      <c r="U234" s="1">
        <v>150.6</v>
      </c>
      <c r="V234" s="1">
        <v>127.0</v>
      </c>
      <c r="W234" s="1">
        <v>137.7</v>
      </c>
      <c r="X234" s="1">
        <v>140.8</v>
      </c>
      <c r="Y234" s="1">
        <v>120.6</v>
      </c>
      <c r="Z234" s="1">
        <v>135.0</v>
      </c>
      <c r="AA234" s="1">
        <v>150.4</v>
      </c>
      <c r="AB234" s="1">
        <v>135.1</v>
      </c>
      <c r="AC234" s="1">
        <v>134.5</v>
      </c>
      <c r="AD234" s="1">
        <v>143.3</v>
      </c>
    </row>
    <row r="235" ht="15.75" customHeight="1">
      <c r="A235" s="1" t="s">
        <v>34</v>
      </c>
      <c r="B235" s="1">
        <v>2019.0</v>
      </c>
      <c r="C235" s="1" t="s">
        <v>40</v>
      </c>
      <c r="D235" s="1">
        <v>139.3</v>
      </c>
      <c r="E235" s="1">
        <v>162.7</v>
      </c>
      <c r="F235" s="1">
        <v>140.0</v>
      </c>
      <c r="G235" s="1">
        <v>144.0</v>
      </c>
      <c r="H235" s="1">
        <v>122.5</v>
      </c>
      <c r="I235" s="1">
        <v>150.3</v>
      </c>
      <c r="J235" s="1">
        <v>160.3</v>
      </c>
      <c r="K235" s="1">
        <v>130.0</v>
      </c>
      <c r="L235" s="1">
        <v>111.1</v>
      </c>
      <c r="M235" s="1">
        <v>141.7</v>
      </c>
      <c r="N235" s="1">
        <v>134.7</v>
      </c>
      <c r="O235" s="1">
        <v>156.2</v>
      </c>
      <c r="P235" s="1">
        <v>144.7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</v>
      </c>
      <c r="W235" s="1">
        <v>144.2</v>
      </c>
      <c r="X235" s="1">
        <v>147.9</v>
      </c>
      <c r="Y235" s="1">
        <v>125.6</v>
      </c>
      <c r="Z235" s="1">
        <v>140.5</v>
      </c>
      <c r="AA235" s="1">
        <v>154.0</v>
      </c>
      <c r="AB235" s="1">
        <v>135.7</v>
      </c>
      <c r="AC235" s="1">
        <v>139.5</v>
      </c>
      <c r="AD235" s="1">
        <v>144.2</v>
      </c>
    </row>
    <row r="236" ht="15.75" customHeight="1">
      <c r="A236" s="1" t="s">
        <v>30</v>
      </c>
      <c r="B236" s="1">
        <v>2019.0</v>
      </c>
      <c r="C236" s="1" t="s">
        <v>41</v>
      </c>
      <c r="D236" s="1">
        <v>139.2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156.2</v>
      </c>
      <c r="K236" s="1">
        <v>131.5</v>
      </c>
      <c r="L236" s="1">
        <v>111.7</v>
      </c>
      <c r="M236" s="1">
        <v>142.7</v>
      </c>
      <c r="N236" s="1">
        <v>138.5</v>
      </c>
      <c r="O236" s="1">
        <v>156.9</v>
      </c>
      <c r="P236" s="1">
        <v>144.0</v>
      </c>
      <c r="Q236" s="1">
        <v>165.1</v>
      </c>
      <c r="R236" s="1">
        <v>151.8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150.2</v>
      </c>
      <c r="X236" s="1">
        <v>152.7</v>
      </c>
      <c r="Y236" s="1">
        <v>131.4</v>
      </c>
      <c r="Z236" s="1">
        <v>148.0</v>
      </c>
      <c r="AA236" s="1">
        <v>159.7</v>
      </c>
      <c r="AB236" s="1">
        <v>138.8</v>
      </c>
      <c r="AC236" s="1">
        <v>144.9</v>
      </c>
      <c r="AD236" s="1">
        <v>145.7</v>
      </c>
    </row>
    <row r="237" ht="15.75" customHeight="1">
      <c r="A237" s="1" t="s">
        <v>33</v>
      </c>
      <c r="B237" s="1">
        <v>2019.0</v>
      </c>
      <c r="C237" s="1" t="s">
        <v>41</v>
      </c>
      <c r="D237" s="1">
        <v>142.1</v>
      </c>
      <c r="E237" s="1">
        <v>158.3</v>
      </c>
      <c r="F237" s="1">
        <v>140.8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</v>
      </c>
      <c r="L237" s="1">
        <v>112.7</v>
      </c>
      <c r="M237" s="1">
        <v>142.5</v>
      </c>
      <c r="N237" s="1">
        <v>129.8</v>
      </c>
      <c r="O237" s="1">
        <v>156.2</v>
      </c>
      <c r="P237" s="1">
        <v>149.1</v>
      </c>
      <c r="Q237" s="1">
        <v>167.9</v>
      </c>
      <c r="R237" s="1">
        <v>145.0</v>
      </c>
      <c r="S237" s="1">
        <v>132.2</v>
      </c>
      <c r="T237" s="1">
        <v>143.0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</v>
      </c>
      <c r="AC237" s="1">
        <v>135.3</v>
      </c>
      <c r="AD237" s="1">
        <v>144.2</v>
      </c>
    </row>
    <row r="238" ht="15.75" customHeight="1">
      <c r="A238" s="1" t="s">
        <v>34</v>
      </c>
      <c r="B238" s="1">
        <v>2019.0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144.7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112.0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140.2</v>
      </c>
      <c r="AD238" s="1">
        <v>145.0</v>
      </c>
    </row>
    <row r="239" ht="15.75" customHeight="1">
      <c r="A239" s="1" t="s">
        <v>30</v>
      </c>
      <c r="B239" s="1">
        <v>2019.0</v>
      </c>
      <c r="C239" s="1" t="s">
        <v>42</v>
      </c>
      <c r="D239" s="1">
        <v>140.1</v>
      </c>
      <c r="E239" s="1">
        <v>161.9</v>
      </c>
      <c r="F239" s="1">
        <v>138.3</v>
      </c>
      <c r="G239" s="1">
        <v>145.7</v>
      </c>
      <c r="H239" s="1">
        <v>125.1</v>
      </c>
      <c r="I239" s="1">
        <v>143.8</v>
      </c>
      <c r="J239" s="1">
        <v>163.4</v>
      </c>
      <c r="K239" s="1">
        <v>132.2</v>
      </c>
      <c r="L239" s="1">
        <v>112.8</v>
      </c>
      <c r="M239" s="1">
        <v>144.2</v>
      </c>
      <c r="N239" s="1">
        <v>138.5</v>
      </c>
      <c r="O239" s="1">
        <v>157.2</v>
      </c>
      <c r="P239" s="1">
        <v>145.5</v>
      </c>
      <c r="Q239" s="1">
        <v>165.7</v>
      </c>
      <c r="R239" s="1">
        <v>151.7</v>
      </c>
      <c r="S239" s="1">
        <v>146.6</v>
      </c>
      <c r="T239" s="1">
        <v>151.0</v>
      </c>
      <c r="U239" s="1" t="s">
        <v>32</v>
      </c>
      <c r="V239" s="1">
        <v>146.9</v>
      </c>
      <c r="W239" s="1">
        <v>150.3</v>
      </c>
      <c r="X239" s="1">
        <v>153.4</v>
      </c>
      <c r="Y239" s="1">
        <v>131.6</v>
      </c>
      <c r="Z239" s="1">
        <v>148.3</v>
      </c>
      <c r="AA239" s="1">
        <v>160.2</v>
      </c>
      <c r="AB239" s="1">
        <v>140.2</v>
      </c>
      <c r="AC239" s="1">
        <v>145.4</v>
      </c>
      <c r="AD239" s="1">
        <v>146.7</v>
      </c>
    </row>
    <row r="240" ht="15.75" customHeight="1">
      <c r="A240" s="1" t="s">
        <v>33</v>
      </c>
      <c r="B240" s="1">
        <v>2019.0</v>
      </c>
      <c r="C240" s="1" t="s">
        <v>42</v>
      </c>
      <c r="D240" s="1">
        <v>142.7</v>
      </c>
      <c r="E240" s="1">
        <v>158.7</v>
      </c>
      <c r="F240" s="1">
        <v>141.6</v>
      </c>
      <c r="G240" s="1">
        <v>144.9</v>
      </c>
      <c r="H240" s="1">
        <v>120.8</v>
      </c>
      <c r="I240" s="1">
        <v>149.8</v>
      </c>
      <c r="J240" s="1">
        <v>192.4</v>
      </c>
      <c r="K240" s="1">
        <v>130.3</v>
      </c>
      <c r="L240" s="1">
        <v>114.0</v>
      </c>
      <c r="M240" s="1">
        <v>143.8</v>
      </c>
      <c r="N240" s="1">
        <v>130.0</v>
      </c>
      <c r="O240" s="1">
        <v>156.4</v>
      </c>
      <c r="P240" s="1">
        <v>149.5</v>
      </c>
      <c r="Q240" s="1">
        <v>168.6</v>
      </c>
      <c r="R240" s="1">
        <v>145.3</v>
      </c>
      <c r="S240" s="1">
        <v>132.2</v>
      </c>
      <c r="T240" s="1">
        <v>143.3</v>
      </c>
      <c r="U240" s="1">
        <v>152.2</v>
      </c>
      <c r="V240" s="1">
        <v>126.6</v>
      </c>
      <c r="W240" s="1">
        <v>138.3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139.0</v>
      </c>
      <c r="AC240" s="1">
        <v>135.7</v>
      </c>
      <c r="AD240" s="1">
        <v>144.7</v>
      </c>
    </row>
    <row r="241" ht="15.75" customHeight="1">
      <c r="A241" s="1" t="s">
        <v>34</v>
      </c>
      <c r="B241" s="1">
        <v>2019.0</v>
      </c>
      <c r="C241" s="1" t="s">
        <v>42</v>
      </c>
      <c r="D241" s="1">
        <v>140.9</v>
      </c>
      <c r="E241" s="1">
        <v>160.8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135.0</v>
      </c>
      <c r="O241" s="1">
        <v>156.8</v>
      </c>
      <c r="P241" s="1">
        <v>147.0</v>
      </c>
      <c r="Q241" s="1">
        <v>166.5</v>
      </c>
      <c r="R241" s="1">
        <v>149.2</v>
      </c>
      <c r="S241" s="1">
        <v>140.6</v>
      </c>
      <c r="T241" s="1">
        <v>147.9</v>
      </c>
      <c r="U241" s="1">
        <v>152.2</v>
      </c>
      <c r="V241" s="1">
        <v>139.2</v>
      </c>
      <c r="W241" s="1">
        <v>144.6</v>
      </c>
      <c r="X241" s="1">
        <v>149.0</v>
      </c>
      <c r="Y241" s="1">
        <v>126.1</v>
      </c>
      <c r="Z241" s="1">
        <v>141.3</v>
      </c>
      <c r="AA241" s="1">
        <v>155.2</v>
      </c>
      <c r="AB241" s="1">
        <v>139.7</v>
      </c>
      <c r="AC241" s="1">
        <v>140.7</v>
      </c>
      <c r="AD241" s="1">
        <v>145.8</v>
      </c>
    </row>
    <row r="242" ht="15.75" customHeight="1">
      <c r="A242" s="1" t="s">
        <v>30</v>
      </c>
      <c r="B242" s="1">
        <v>2019.0</v>
      </c>
      <c r="C242" s="1" t="s">
        <v>43</v>
      </c>
      <c r="D242" s="1">
        <v>141.0</v>
      </c>
      <c r="E242" s="1">
        <v>161.6</v>
      </c>
      <c r="F242" s="1">
        <v>141.2</v>
      </c>
      <c r="G242" s="1">
        <v>146.5</v>
      </c>
      <c r="H242" s="1">
        <v>125.6</v>
      </c>
      <c r="I242" s="1">
        <v>145.7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</v>
      </c>
      <c r="Q242" s="1">
        <v>166.3</v>
      </c>
      <c r="R242" s="1">
        <v>151.7</v>
      </c>
      <c r="S242" s="1">
        <v>146.7</v>
      </c>
      <c r="T242" s="1">
        <v>151.0</v>
      </c>
      <c r="U242" s="1" t="s">
        <v>32</v>
      </c>
      <c r="V242" s="1">
        <v>147.7</v>
      </c>
      <c r="W242" s="1">
        <v>150.6</v>
      </c>
      <c r="X242" s="1">
        <v>153.7</v>
      </c>
      <c r="Y242" s="1">
        <v>131.7</v>
      </c>
      <c r="Z242" s="1">
        <v>148.7</v>
      </c>
      <c r="AA242" s="1">
        <v>160.7</v>
      </c>
      <c r="AB242" s="1">
        <v>140.3</v>
      </c>
      <c r="AC242" s="1">
        <v>145.7</v>
      </c>
      <c r="AD242" s="1">
        <v>148.3</v>
      </c>
    </row>
    <row r="243" ht="15.75" customHeight="1">
      <c r="A243" s="1" t="s">
        <v>33</v>
      </c>
      <c r="B243" s="1">
        <v>2019.0</v>
      </c>
      <c r="C243" s="1" t="s">
        <v>43</v>
      </c>
      <c r="D243" s="1">
        <v>143.5</v>
      </c>
      <c r="E243" s="1">
        <v>159.8</v>
      </c>
      <c r="F243" s="1">
        <v>144.7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131.2</v>
      </c>
      <c r="L243" s="1">
        <v>114.8</v>
      </c>
      <c r="M243" s="1">
        <v>145.2</v>
      </c>
      <c r="N243" s="1">
        <v>130.2</v>
      </c>
      <c r="O243" s="1">
        <v>156.8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153.0</v>
      </c>
      <c r="V243" s="1">
        <v>128.9</v>
      </c>
      <c r="W243" s="1">
        <v>138.7</v>
      </c>
      <c r="X243" s="1">
        <v>142.4</v>
      </c>
      <c r="Y243" s="1">
        <v>121.5</v>
      </c>
      <c r="Z243" s="1">
        <v>136.2</v>
      </c>
      <c r="AA243" s="1">
        <v>151.7</v>
      </c>
      <c r="AB243" s="1">
        <v>139.5</v>
      </c>
      <c r="AC243" s="1">
        <v>136.0</v>
      </c>
      <c r="AD243" s="1">
        <v>146.0</v>
      </c>
    </row>
    <row r="244" ht="15.75" customHeight="1">
      <c r="A244" s="1" t="s">
        <v>34</v>
      </c>
      <c r="B244" s="1">
        <v>2019.0</v>
      </c>
      <c r="C244" s="1" t="s">
        <v>43</v>
      </c>
      <c r="D244" s="1">
        <v>141.8</v>
      </c>
      <c r="E244" s="1">
        <v>161.0</v>
      </c>
      <c r="F244" s="1">
        <v>142.6</v>
      </c>
      <c r="G244" s="1">
        <v>146.2</v>
      </c>
      <c r="H244" s="1">
        <v>123.9</v>
      </c>
      <c r="I244" s="1">
        <v>148.0</v>
      </c>
      <c r="J244" s="1">
        <v>188.4</v>
      </c>
      <c r="K244" s="1">
        <v>132.5</v>
      </c>
      <c r="L244" s="1">
        <v>114.0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</v>
      </c>
      <c r="T244" s="1">
        <v>148.2</v>
      </c>
      <c r="U244" s="1">
        <v>153.0</v>
      </c>
      <c r="V244" s="1">
        <v>140.6</v>
      </c>
      <c r="W244" s="1">
        <v>145.0</v>
      </c>
      <c r="X244" s="1">
        <v>149.4</v>
      </c>
      <c r="Y244" s="1">
        <v>126.3</v>
      </c>
      <c r="Z244" s="1">
        <v>141.7</v>
      </c>
      <c r="AA244" s="1">
        <v>155.4</v>
      </c>
      <c r="AB244" s="1">
        <v>140.0</v>
      </c>
      <c r="AC244" s="1">
        <v>141.0</v>
      </c>
      <c r="AD244" s="1">
        <v>147.2</v>
      </c>
    </row>
    <row r="245" ht="15.75" customHeight="1">
      <c r="A245" s="1" t="s">
        <v>30</v>
      </c>
      <c r="B245" s="1">
        <v>2019.0</v>
      </c>
      <c r="C245" s="1" t="s">
        <v>45</v>
      </c>
      <c r="D245" s="1">
        <v>141.8</v>
      </c>
      <c r="E245" s="1">
        <v>163.7</v>
      </c>
      <c r="F245" s="1">
        <v>143.8</v>
      </c>
      <c r="G245" s="1">
        <v>147.1</v>
      </c>
      <c r="H245" s="1">
        <v>126.0</v>
      </c>
      <c r="I245" s="1">
        <v>146.2</v>
      </c>
      <c r="J245" s="1">
        <v>191.4</v>
      </c>
      <c r="K245" s="1">
        <v>136.2</v>
      </c>
      <c r="L245" s="1">
        <v>113.8</v>
      </c>
      <c r="M245" s="1">
        <v>147.3</v>
      </c>
      <c r="N245" s="1">
        <v>138.7</v>
      </c>
      <c r="O245" s="1">
        <v>157.7</v>
      </c>
      <c r="P245" s="1">
        <v>150.9</v>
      </c>
      <c r="Q245" s="1">
        <v>167.2</v>
      </c>
      <c r="R245" s="1">
        <v>152.3</v>
      </c>
      <c r="S245" s="1">
        <v>147.0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</v>
      </c>
      <c r="Y245" s="1">
        <v>132.1</v>
      </c>
      <c r="Z245" s="1">
        <v>149.1</v>
      </c>
      <c r="AA245" s="1">
        <v>160.8</v>
      </c>
      <c r="AB245" s="1">
        <v>140.6</v>
      </c>
      <c r="AC245" s="1">
        <v>146.1</v>
      </c>
      <c r="AD245" s="1">
        <v>149.9</v>
      </c>
    </row>
    <row r="246" ht="15.75" customHeight="1">
      <c r="A246" s="1" t="s">
        <v>33</v>
      </c>
      <c r="B246" s="1">
        <v>2019.0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</v>
      </c>
      <c r="J246" s="1">
        <v>215.7</v>
      </c>
      <c r="K246" s="1">
        <v>134.6</v>
      </c>
      <c r="L246" s="1">
        <v>115.0</v>
      </c>
      <c r="M246" s="1">
        <v>146.3</v>
      </c>
      <c r="N246" s="1">
        <v>130.5</v>
      </c>
      <c r="O246" s="1">
        <v>157.2</v>
      </c>
      <c r="P246" s="1">
        <v>153.6</v>
      </c>
      <c r="Q246" s="1">
        <v>169.9</v>
      </c>
      <c r="R246" s="1">
        <v>146.3</v>
      </c>
      <c r="S246" s="1">
        <v>132.6</v>
      </c>
      <c r="T246" s="1">
        <v>144.2</v>
      </c>
      <c r="U246" s="1">
        <v>153.5</v>
      </c>
      <c r="V246" s="1">
        <v>132.2</v>
      </c>
      <c r="W246" s="1">
        <v>139.1</v>
      </c>
      <c r="X246" s="1">
        <v>142.8</v>
      </c>
      <c r="Y246" s="1">
        <v>121.7</v>
      </c>
      <c r="Z246" s="1">
        <v>136.7</v>
      </c>
      <c r="AA246" s="1">
        <v>151.8</v>
      </c>
      <c r="AB246" s="1">
        <v>139.8</v>
      </c>
      <c r="AC246" s="1">
        <v>136.3</v>
      </c>
      <c r="AD246" s="1">
        <v>147.0</v>
      </c>
    </row>
    <row r="247" ht="15.75" customHeight="1">
      <c r="A247" s="1" t="s">
        <v>34</v>
      </c>
      <c r="B247" s="1">
        <v>2019.0</v>
      </c>
      <c r="C247" s="1" t="s">
        <v>45</v>
      </c>
      <c r="D247" s="1">
        <v>142.5</v>
      </c>
      <c r="E247" s="1">
        <v>163.2</v>
      </c>
      <c r="F247" s="1">
        <v>145.6</v>
      </c>
      <c r="G247" s="1">
        <v>146.7</v>
      </c>
      <c r="H247" s="1">
        <v>124.3</v>
      </c>
      <c r="I247" s="1">
        <v>147.4</v>
      </c>
      <c r="J247" s="1">
        <v>199.6</v>
      </c>
      <c r="K247" s="1">
        <v>135.7</v>
      </c>
      <c r="L247" s="1">
        <v>114.2</v>
      </c>
      <c r="M247" s="1">
        <v>147.0</v>
      </c>
      <c r="N247" s="1">
        <v>135.3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141.0</v>
      </c>
      <c r="T247" s="1">
        <v>148.6</v>
      </c>
      <c r="U247" s="1">
        <v>153.5</v>
      </c>
      <c r="V247" s="1">
        <v>142.3</v>
      </c>
      <c r="W247" s="1">
        <v>145.3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</v>
      </c>
      <c r="AC247" s="1">
        <v>141.3</v>
      </c>
      <c r="AD247" s="1">
        <v>148.6</v>
      </c>
    </row>
    <row r="248" ht="15.75" customHeight="1">
      <c r="A248" s="1" t="s">
        <v>30</v>
      </c>
      <c r="B248" s="1">
        <v>2019.0</v>
      </c>
      <c r="C248" s="1" t="s">
        <v>46</v>
      </c>
      <c r="D248" s="1">
        <v>142.8</v>
      </c>
      <c r="E248" s="1">
        <v>165.3</v>
      </c>
      <c r="F248" s="1">
        <v>149.5</v>
      </c>
      <c r="G248" s="1">
        <v>148.7</v>
      </c>
      <c r="H248" s="1">
        <v>127.5</v>
      </c>
      <c r="I248" s="1">
        <v>144.3</v>
      </c>
      <c r="J248" s="1">
        <v>209.5</v>
      </c>
      <c r="K248" s="1">
        <v>138.8</v>
      </c>
      <c r="L248" s="1">
        <v>113.6</v>
      </c>
      <c r="M248" s="1">
        <v>149.1</v>
      </c>
      <c r="N248" s="1">
        <v>139.3</v>
      </c>
      <c r="O248" s="1">
        <v>158.3</v>
      </c>
      <c r="P248" s="1">
        <v>154.3</v>
      </c>
      <c r="Q248" s="1">
        <v>167.8</v>
      </c>
      <c r="R248" s="1">
        <v>152.6</v>
      </c>
      <c r="S248" s="1">
        <v>147.3</v>
      </c>
      <c r="T248" s="1">
        <v>151.9</v>
      </c>
      <c r="U248" s="1" t="s">
        <v>32</v>
      </c>
      <c r="V248" s="1">
        <v>149.9</v>
      </c>
      <c r="W248" s="1">
        <v>151.2</v>
      </c>
      <c r="X248" s="1">
        <v>154.8</v>
      </c>
      <c r="Y248" s="1">
        <v>135.0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</v>
      </c>
    </row>
    <row r="249" ht="15.75" customHeight="1">
      <c r="A249" s="1" t="s">
        <v>33</v>
      </c>
      <c r="B249" s="1">
        <v>2019.0</v>
      </c>
      <c r="C249" s="1" t="s">
        <v>46</v>
      </c>
      <c r="D249" s="1">
        <v>144.9</v>
      </c>
      <c r="E249" s="1">
        <v>164.5</v>
      </c>
      <c r="F249" s="1">
        <v>153.7</v>
      </c>
      <c r="G249" s="1">
        <v>147.5</v>
      </c>
      <c r="H249" s="1">
        <v>122.7</v>
      </c>
      <c r="I249" s="1">
        <v>147.2</v>
      </c>
      <c r="J249" s="1">
        <v>231.5</v>
      </c>
      <c r="K249" s="1">
        <v>137.2</v>
      </c>
      <c r="L249" s="1">
        <v>114.7</v>
      </c>
      <c r="M249" s="1">
        <v>148.0</v>
      </c>
      <c r="N249" s="1">
        <v>130.8</v>
      </c>
      <c r="O249" s="1">
        <v>157.7</v>
      </c>
      <c r="P249" s="1">
        <v>156.3</v>
      </c>
      <c r="Q249" s="1">
        <v>170.4</v>
      </c>
      <c r="R249" s="1">
        <v>146.8</v>
      </c>
      <c r="S249" s="1">
        <v>132.8</v>
      </c>
      <c r="T249" s="1">
        <v>144.6</v>
      </c>
      <c r="U249" s="1">
        <v>152.8</v>
      </c>
      <c r="V249" s="1">
        <v>133.6</v>
      </c>
      <c r="W249" s="1">
        <v>139.8</v>
      </c>
      <c r="X249" s="1">
        <v>143.2</v>
      </c>
      <c r="Y249" s="1">
        <v>125.2</v>
      </c>
      <c r="Z249" s="1">
        <v>136.8</v>
      </c>
      <c r="AA249" s="1">
        <v>151.9</v>
      </c>
      <c r="AB249" s="1">
        <v>140.2</v>
      </c>
      <c r="AC249" s="1">
        <v>137.7</v>
      </c>
      <c r="AD249" s="1">
        <v>148.3</v>
      </c>
    </row>
    <row r="250" ht="15.75" customHeight="1">
      <c r="A250" s="1" t="s">
        <v>34</v>
      </c>
      <c r="B250" s="1">
        <v>2019.0</v>
      </c>
      <c r="C250" s="1" t="s">
        <v>46</v>
      </c>
      <c r="D250" s="1">
        <v>143.5</v>
      </c>
      <c r="E250" s="1">
        <v>165.0</v>
      </c>
      <c r="F250" s="1">
        <v>151.1</v>
      </c>
      <c r="G250" s="1">
        <v>148.3</v>
      </c>
      <c r="H250" s="1">
        <v>125.7</v>
      </c>
      <c r="I250" s="1">
        <v>145.7</v>
      </c>
      <c r="J250" s="1">
        <v>217.0</v>
      </c>
      <c r="K250" s="1">
        <v>138.3</v>
      </c>
      <c r="L250" s="1">
        <v>114.0</v>
      </c>
      <c r="M250" s="1">
        <v>148.7</v>
      </c>
      <c r="N250" s="1">
        <v>135.8</v>
      </c>
      <c r="O250" s="1">
        <v>158.0</v>
      </c>
      <c r="P250" s="1">
        <v>155.0</v>
      </c>
      <c r="Q250" s="1">
        <v>168.5</v>
      </c>
      <c r="R250" s="1">
        <v>150.3</v>
      </c>
      <c r="S250" s="1">
        <v>141.3</v>
      </c>
      <c r="T250" s="1">
        <v>149.0</v>
      </c>
      <c r="U250" s="1">
        <v>152.8</v>
      </c>
      <c r="V250" s="1">
        <v>143.7</v>
      </c>
      <c r="W250" s="1">
        <v>145.8</v>
      </c>
      <c r="X250" s="1">
        <v>150.4</v>
      </c>
      <c r="Y250" s="1">
        <v>129.8</v>
      </c>
      <c r="Z250" s="1">
        <v>142.3</v>
      </c>
      <c r="AA250" s="1">
        <v>155.7</v>
      </c>
      <c r="AB250" s="1">
        <v>140.4</v>
      </c>
      <c r="AC250" s="1">
        <v>142.5</v>
      </c>
      <c r="AD250" s="1">
        <v>150.4</v>
      </c>
    </row>
    <row r="251" ht="15.75" customHeight="1">
      <c r="A251" s="1" t="s">
        <v>30</v>
      </c>
      <c r="B251" s="1">
        <v>2020.0</v>
      </c>
      <c r="C251" s="1" t="s">
        <v>31</v>
      </c>
      <c r="D251" s="1">
        <v>143.7</v>
      </c>
      <c r="E251" s="1">
        <v>167.3</v>
      </c>
      <c r="F251" s="1">
        <v>153.5</v>
      </c>
      <c r="G251" s="1">
        <v>150.5</v>
      </c>
      <c r="H251" s="1">
        <v>132.0</v>
      </c>
      <c r="I251" s="1">
        <v>142.2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139.7</v>
      </c>
      <c r="O251" s="1">
        <v>158.7</v>
      </c>
      <c r="P251" s="1">
        <v>153.0</v>
      </c>
      <c r="Q251" s="1">
        <v>168.6</v>
      </c>
      <c r="R251" s="1">
        <v>152.8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151.7</v>
      </c>
      <c r="X251" s="1">
        <v>155.7</v>
      </c>
      <c r="Y251" s="1">
        <v>136.3</v>
      </c>
      <c r="Z251" s="1">
        <v>150.1</v>
      </c>
      <c r="AA251" s="1">
        <v>161.7</v>
      </c>
      <c r="AB251" s="1">
        <v>142.5</v>
      </c>
      <c r="AC251" s="1">
        <v>148.1</v>
      </c>
      <c r="AD251" s="1">
        <v>151.9</v>
      </c>
    </row>
    <row r="252" ht="15.75" customHeight="1">
      <c r="A252" s="1" t="s">
        <v>33</v>
      </c>
      <c r="B252" s="1">
        <v>2020.0</v>
      </c>
      <c r="C252" s="1" t="s">
        <v>31</v>
      </c>
      <c r="D252" s="1">
        <v>145.6</v>
      </c>
      <c r="E252" s="1">
        <v>167.6</v>
      </c>
      <c r="F252" s="1">
        <v>157.0</v>
      </c>
      <c r="G252" s="1">
        <v>149.3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147.0</v>
      </c>
      <c r="S252" s="1">
        <v>133.2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</v>
      </c>
      <c r="Y252" s="1">
        <v>126.1</v>
      </c>
      <c r="Z252" s="1">
        <v>137.2</v>
      </c>
      <c r="AA252" s="1">
        <v>152.1</v>
      </c>
      <c r="AB252" s="1">
        <v>142.1</v>
      </c>
      <c r="AC252" s="1">
        <v>138.4</v>
      </c>
      <c r="AD252" s="1">
        <v>148.2</v>
      </c>
    </row>
    <row r="253" ht="15.75" customHeight="1">
      <c r="A253" s="1" t="s">
        <v>34</v>
      </c>
      <c r="B253" s="1">
        <v>2020.0</v>
      </c>
      <c r="C253" s="1" t="s">
        <v>31</v>
      </c>
      <c r="D253" s="1">
        <v>144.3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143.2</v>
      </c>
      <c r="J253" s="1">
        <v>197.0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149.2</v>
      </c>
      <c r="U253" s="1">
        <v>153.9</v>
      </c>
      <c r="V253" s="1">
        <v>144.6</v>
      </c>
      <c r="W253" s="1">
        <v>146.2</v>
      </c>
      <c r="X253" s="1">
        <v>151.2</v>
      </c>
      <c r="Y253" s="1">
        <v>130.9</v>
      </c>
      <c r="Z253" s="1">
        <v>142.8</v>
      </c>
      <c r="AA253" s="1">
        <v>156.1</v>
      </c>
      <c r="AB253" s="1">
        <v>142.3</v>
      </c>
      <c r="AC253" s="1">
        <v>143.4</v>
      </c>
      <c r="AD253" s="1">
        <v>150.2</v>
      </c>
    </row>
    <row r="254" ht="15.75" customHeight="1">
      <c r="A254" s="1" t="s">
        <v>30</v>
      </c>
      <c r="B254" s="1">
        <v>2020.0</v>
      </c>
      <c r="C254" s="1" t="s">
        <v>35</v>
      </c>
      <c r="D254" s="1">
        <v>144.2</v>
      </c>
      <c r="E254" s="1">
        <v>167.5</v>
      </c>
      <c r="F254" s="1">
        <v>150.9</v>
      </c>
      <c r="G254" s="1">
        <v>150.9</v>
      </c>
      <c r="H254" s="1">
        <v>133.7</v>
      </c>
      <c r="I254" s="1">
        <v>140.7</v>
      </c>
      <c r="J254" s="1">
        <v>165.1</v>
      </c>
      <c r="K254" s="1">
        <v>141.8</v>
      </c>
      <c r="L254" s="1">
        <v>113.1</v>
      </c>
      <c r="M254" s="1">
        <v>152.8</v>
      </c>
      <c r="N254" s="1">
        <v>140.1</v>
      </c>
      <c r="O254" s="1">
        <v>159.2</v>
      </c>
      <c r="P254" s="1">
        <v>149.8</v>
      </c>
      <c r="Q254" s="1">
        <v>169.4</v>
      </c>
      <c r="R254" s="1">
        <v>153.0</v>
      </c>
      <c r="S254" s="1">
        <v>147.5</v>
      </c>
      <c r="T254" s="1">
        <v>152.3</v>
      </c>
      <c r="U254" s="1" t="s">
        <v>32</v>
      </c>
      <c r="V254" s="1">
        <v>152.3</v>
      </c>
      <c r="W254" s="1">
        <v>151.8</v>
      </c>
      <c r="X254" s="1">
        <v>156.2</v>
      </c>
      <c r="Y254" s="1">
        <v>136.0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ht="15.75" customHeight="1">
      <c r="A255" s="1" t="s">
        <v>33</v>
      </c>
      <c r="B255" s="1">
        <v>2020.0</v>
      </c>
      <c r="C255" s="1" t="s">
        <v>35</v>
      </c>
      <c r="D255" s="1">
        <v>146.2</v>
      </c>
      <c r="E255" s="1">
        <v>167.6</v>
      </c>
      <c r="F255" s="1">
        <v>153.1</v>
      </c>
      <c r="G255" s="1">
        <v>150.7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159.0</v>
      </c>
      <c r="P255" s="1">
        <v>151.7</v>
      </c>
      <c r="Q255" s="1">
        <v>172.0</v>
      </c>
      <c r="R255" s="1">
        <v>147.3</v>
      </c>
      <c r="S255" s="1">
        <v>133.5</v>
      </c>
      <c r="T255" s="1">
        <v>145.2</v>
      </c>
      <c r="U255" s="1">
        <v>154.8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137.7</v>
      </c>
      <c r="AA255" s="1">
        <v>152.2</v>
      </c>
      <c r="AB255" s="1">
        <v>143.5</v>
      </c>
      <c r="AC255" s="1">
        <v>138.4</v>
      </c>
      <c r="AD255" s="1">
        <v>147.7</v>
      </c>
    </row>
    <row r="256" ht="15.75" customHeight="1">
      <c r="A256" s="1" t="s">
        <v>34</v>
      </c>
      <c r="B256" s="1">
        <v>2020.0</v>
      </c>
      <c r="C256" s="1" t="s">
        <v>35</v>
      </c>
      <c r="D256" s="1">
        <v>144.8</v>
      </c>
      <c r="E256" s="1">
        <v>167.5</v>
      </c>
      <c r="F256" s="1">
        <v>151.8</v>
      </c>
      <c r="G256" s="1">
        <v>150.8</v>
      </c>
      <c r="H256" s="1">
        <v>131.4</v>
      </c>
      <c r="I256" s="1">
        <v>141.8</v>
      </c>
      <c r="J256" s="1">
        <v>170.7</v>
      </c>
      <c r="K256" s="1">
        <v>141.1</v>
      </c>
      <c r="L256" s="1">
        <v>113.6</v>
      </c>
      <c r="M256" s="1">
        <v>152.0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</v>
      </c>
      <c r="S256" s="1">
        <v>141.7</v>
      </c>
      <c r="T256" s="1">
        <v>149.5</v>
      </c>
      <c r="U256" s="1">
        <v>154.8</v>
      </c>
      <c r="V256" s="1">
        <v>147.2</v>
      </c>
      <c r="W256" s="1">
        <v>146.4</v>
      </c>
      <c r="X256" s="1">
        <v>151.7</v>
      </c>
      <c r="Y256" s="1">
        <v>130.3</v>
      </c>
      <c r="Z256" s="1">
        <v>143.2</v>
      </c>
      <c r="AA256" s="1">
        <v>156.2</v>
      </c>
      <c r="AB256" s="1">
        <v>143.4</v>
      </c>
      <c r="AC256" s="1">
        <v>143.6</v>
      </c>
      <c r="AD256" s="1">
        <v>149.1</v>
      </c>
    </row>
    <row r="257" ht="15.75" customHeight="1">
      <c r="A257" s="1" t="s">
        <v>30</v>
      </c>
      <c r="B257" s="1">
        <v>2020.0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151.7</v>
      </c>
      <c r="H257" s="1">
        <v>133.3</v>
      </c>
      <c r="I257" s="1">
        <v>141.8</v>
      </c>
      <c r="J257" s="1">
        <v>152.3</v>
      </c>
      <c r="K257" s="1">
        <v>141.8</v>
      </c>
      <c r="L257" s="1">
        <v>112.6</v>
      </c>
      <c r="M257" s="1">
        <v>154.0</v>
      </c>
      <c r="N257" s="1">
        <v>140.1</v>
      </c>
      <c r="O257" s="1">
        <v>160.0</v>
      </c>
      <c r="P257" s="1">
        <v>148.2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156.7</v>
      </c>
      <c r="Y257" s="1">
        <v>135.8</v>
      </c>
      <c r="Z257" s="1">
        <v>151.2</v>
      </c>
      <c r="AA257" s="1">
        <v>161.2</v>
      </c>
      <c r="AB257" s="1">
        <v>145.1</v>
      </c>
      <c r="AC257" s="1">
        <v>148.6</v>
      </c>
      <c r="AD257" s="1">
        <v>149.8</v>
      </c>
    </row>
    <row r="258" ht="15.75" customHeight="1">
      <c r="A258" s="1" t="s">
        <v>33</v>
      </c>
      <c r="B258" s="1">
        <v>2020.0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</v>
      </c>
      <c r="J258" s="1">
        <v>167.0</v>
      </c>
      <c r="K258" s="1">
        <v>139.7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147.7</v>
      </c>
      <c r="S258" s="1">
        <v>133.8</v>
      </c>
      <c r="T258" s="1">
        <v>145.6</v>
      </c>
      <c r="U258" s="1">
        <v>154.5</v>
      </c>
      <c r="V258" s="1">
        <v>141.4</v>
      </c>
      <c r="W258" s="1">
        <v>140.8</v>
      </c>
      <c r="X258" s="1">
        <v>145.0</v>
      </c>
      <c r="Y258" s="1">
        <v>124.6</v>
      </c>
      <c r="Z258" s="1">
        <v>137.9</v>
      </c>
      <c r="AA258" s="1">
        <v>152.5</v>
      </c>
      <c r="AB258" s="1">
        <v>145.3</v>
      </c>
      <c r="AC258" s="1">
        <v>138.7</v>
      </c>
      <c r="AD258" s="1">
        <v>147.3</v>
      </c>
    </row>
    <row r="259" ht="15.75" customHeight="1">
      <c r="A259" s="1" t="s">
        <v>34</v>
      </c>
      <c r="B259" s="1">
        <v>2020.0</v>
      </c>
      <c r="C259" s="1" t="s">
        <v>36</v>
      </c>
      <c r="D259" s="1">
        <v>145.1</v>
      </c>
      <c r="E259" s="1">
        <v>167.0</v>
      </c>
      <c r="F259" s="1">
        <v>148.1</v>
      </c>
      <c r="G259" s="1">
        <v>151.5</v>
      </c>
      <c r="H259" s="1">
        <v>131.2</v>
      </c>
      <c r="I259" s="1">
        <v>142.5</v>
      </c>
      <c r="J259" s="1">
        <v>157.3</v>
      </c>
      <c r="K259" s="1">
        <v>141.1</v>
      </c>
      <c r="L259" s="1">
        <v>113.2</v>
      </c>
      <c r="M259" s="1">
        <v>153.2</v>
      </c>
      <c r="N259" s="1">
        <v>136.7</v>
      </c>
      <c r="O259" s="1">
        <v>159.6</v>
      </c>
      <c r="P259" s="1">
        <v>148.9</v>
      </c>
      <c r="Q259" s="1">
        <v>171.2</v>
      </c>
      <c r="R259" s="1">
        <v>151.2</v>
      </c>
      <c r="S259" s="1">
        <v>141.9</v>
      </c>
      <c r="T259" s="1">
        <v>149.8</v>
      </c>
      <c r="U259" s="1">
        <v>154.5</v>
      </c>
      <c r="V259" s="1">
        <v>148.9</v>
      </c>
      <c r="W259" s="1">
        <v>146.4</v>
      </c>
      <c r="X259" s="1">
        <v>152.3</v>
      </c>
      <c r="Y259" s="1">
        <v>129.9</v>
      </c>
      <c r="Z259" s="1">
        <v>143.7</v>
      </c>
      <c r="AA259" s="1">
        <v>156.1</v>
      </c>
      <c r="AB259" s="1">
        <v>145.2</v>
      </c>
      <c r="AC259" s="1">
        <v>143.8</v>
      </c>
      <c r="AD259" s="1">
        <v>148.6</v>
      </c>
    </row>
    <row r="260" ht="15.75" customHeight="1">
      <c r="A260" s="1" t="s">
        <v>30</v>
      </c>
      <c r="B260" s="1">
        <v>2020.0</v>
      </c>
      <c r="C260" s="1" t="s">
        <v>37</v>
      </c>
      <c r="D260" s="1">
        <v>147.2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</v>
      </c>
      <c r="J260" s="1">
        <v>162.7</v>
      </c>
      <c r="K260" s="1">
        <v>150.2</v>
      </c>
      <c r="L260" s="1">
        <v>119.8</v>
      </c>
      <c r="M260" s="1">
        <v>158.7</v>
      </c>
      <c r="N260" s="1">
        <v>139.2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ht="15.75" customHeight="1">
      <c r="A261" s="1" t="s">
        <v>33</v>
      </c>
      <c r="B261" s="1">
        <v>2020.0</v>
      </c>
      <c r="C261" s="1" t="s">
        <v>37</v>
      </c>
      <c r="D261" s="1">
        <v>151.8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180.0</v>
      </c>
      <c r="K261" s="1">
        <v>150.8</v>
      </c>
      <c r="L261" s="1">
        <v>121.2</v>
      </c>
      <c r="M261" s="1">
        <v>154.0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ht="15.75" customHeight="1">
      <c r="A262" s="1" t="s">
        <v>34</v>
      </c>
      <c r="B262" s="1">
        <v>2020.0</v>
      </c>
      <c r="C262" s="1" t="s">
        <v>37</v>
      </c>
      <c r="D262" s="1">
        <v>148.7</v>
      </c>
      <c r="E262" s="1" t="s">
        <v>32</v>
      </c>
      <c r="F262" s="1">
        <v>148.8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150.7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ht="15.75" customHeight="1">
      <c r="A263" s="1" t="s">
        <v>30</v>
      </c>
      <c r="B263" s="1">
        <v>2020.0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ht="15.75" customHeight="1">
      <c r="A264" s="1" t="s">
        <v>33</v>
      </c>
      <c r="B264" s="1">
        <v>2020.0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ht="15.75" customHeight="1">
      <c r="A265" s="1" t="s">
        <v>34</v>
      </c>
      <c r="B265" s="1">
        <v>2020.0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ht="15.75" customHeight="1">
      <c r="A266" s="1" t="s">
        <v>30</v>
      </c>
      <c r="B266" s="1">
        <v>2020.0</v>
      </c>
      <c r="C266" s="1" t="s">
        <v>39</v>
      </c>
      <c r="D266" s="1">
        <v>148.2</v>
      </c>
      <c r="E266" s="1">
        <v>190.3</v>
      </c>
      <c r="F266" s="1">
        <v>149.4</v>
      </c>
      <c r="G266" s="1">
        <v>153.3</v>
      </c>
      <c r="H266" s="1">
        <v>138.2</v>
      </c>
      <c r="I266" s="1">
        <v>143.2</v>
      </c>
      <c r="J266" s="1">
        <v>148.9</v>
      </c>
      <c r="K266" s="1">
        <v>150.3</v>
      </c>
      <c r="L266" s="1">
        <v>113.2</v>
      </c>
      <c r="M266" s="1">
        <v>159.8</v>
      </c>
      <c r="N266" s="1">
        <v>142.1</v>
      </c>
      <c r="O266" s="1">
        <v>161.8</v>
      </c>
      <c r="P266" s="1">
        <v>152.3</v>
      </c>
      <c r="Q266" s="1">
        <v>182.4</v>
      </c>
      <c r="R266" s="1">
        <v>154.7</v>
      </c>
      <c r="S266" s="1">
        <v>150.0</v>
      </c>
      <c r="T266" s="1">
        <v>154.1</v>
      </c>
      <c r="U266" s="1" t="s">
        <v>32</v>
      </c>
      <c r="V266" s="1">
        <v>144.9</v>
      </c>
      <c r="W266" s="1">
        <v>151.7</v>
      </c>
      <c r="X266" s="1">
        <v>158.2</v>
      </c>
      <c r="Y266" s="1">
        <v>141.4</v>
      </c>
      <c r="Z266" s="1">
        <v>153.2</v>
      </c>
      <c r="AA266" s="1">
        <v>161.8</v>
      </c>
      <c r="AB266" s="1">
        <v>151.2</v>
      </c>
      <c r="AC266" s="1">
        <v>151.7</v>
      </c>
      <c r="AD266" s="1">
        <v>152.7</v>
      </c>
    </row>
    <row r="267" ht="15.75" customHeight="1">
      <c r="A267" s="1" t="s">
        <v>33</v>
      </c>
      <c r="B267" s="1">
        <v>2020.0</v>
      </c>
      <c r="C267" s="1" t="s">
        <v>39</v>
      </c>
      <c r="D267" s="1">
        <v>152.7</v>
      </c>
      <c r="E267" s="1">
        <v>197.0</v>
      </c>
      <c r="F267" s="1">
        <v>154.6</v>
      </c>
      <c r="G267" s="1">
        <v>153.4</v>
      </c>
      <c r="H267" s="1">
        <v>132.9</v>
      </c>
      <c r="I267" s="1">
        <v>151.8</v>
      </c>
      <c r="J267" s="1">
        <v>171.2</v>
      </c>
      <c r="K267" s="1">
        <v>152.0</v>
      </c>
      <c r="L267" s="1">
        <v>116.3</v>
      </c>
      <c r="M267" s="1">
        <v>158.8</v>
      </c>
      <c r="N267" s="1">
        <v>135.6</v>
      </c>
      <c r="O267" s="1">
        <v>161.7</v>
      </c>
      <c r="P267" s="1">
        <v>157.0</v>
      </c>
      <c r="Q267" s="1">
        <v>186.7</v>
      </c>
      <c r="R267" s="1">
        <v>149.1</v>
      </c>
      <c r="S267" s="1">
        <v>136.6</v>
      </c>
      <c r="T267" s="1">
        <v>147.2</v>
      </c>
      <c r="U267" s="1">
        <v>154.7</v>
      </c>
      <c r="V267" s="1">
        <v>137.1</v>
      </c>
      <c r="W267" s="1">
        <v>140.4</v>
      </c>
      <c r="X267" s="1">
        <v>148.1</v>
      </c>
      <c r="Y267" s="1">
        <v>129.3</v>
      </c>
      <c r="Z267" s="1">
        <v>144.5</v>
      </c>
      <c r="AA267" s="1">
        <v>152.5</v>
      </c>
      <c r="AB267" s="1">
        <v>152.2</v>
      </c>
      <c r="AC267" s="1">
        <v>142.0</v>
      </c>
      <c r="AD267" s="1">
        <v>150.8</v>
      </c>
    </row>
    <row r="268" ht="15.75" customHeight="1">
      <c r="A268" s="1" t="s">
        <v>34</v>
      </c>
      <c r="B268" s="1">
        <v>2020.0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</v>
      </c>
      <c r="H268" s="1">
        <v>136.3</v>
      </c>
      <c r="I268" s="1">
        <v>147.2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</v>
      </c>
      <c r="P268" s="1">
        <v>154.0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154.7</v>
      </c>
      <c r="V268" s="1">
        <v>141.9</v>
      </c>
      <c r="W268" s="1">
        <v>146.4</v>
      </c>
      <c r="X268" s="1">
        <v>154.4</v>
      </c>
      <c r="Y268" s="1">
        <v>135.0</v>
      </c>
      <c r="Z268" s="1">
        <v>148.3</v>
      </c>
      <c r="AA268" s="1">
        <v>156.4</v>
      </c>
      <c r="AB268" s="1">
        <v>151.6</v>
      </c>
      <c r="AC268" s="1">
        <v>147.0</v>
      </c>
      <c r="AD268" s="1">
        <v>151.8</v>
      </c>
    </row>
    <row r="269" ht="15.75" customHeight="1">
      <c r="A269" s="1" t="s">
        <v>30</v>
      </c>
      <c r="B269" s="1">
        <v>2020.0</v>
      </c>
      <c r="C269" s="1" t="s">
        <v>40</v>
      </c>
      <c r="D269" s="1">
        <v>148.2</v>
      </c>
      <c r="E269" s="1">
        <v>190.3</v>
      </c>
      <c r="F269" s="1">
        <v>149.4</v>
      </c>
      <c r="G269" s="1">
        <v>153.3</v>
      </c>
      <c r="H269" s="1">
        <v>138.2</v>
      </c>
      <c r="I269" s="1">
        <v>143.2</v>
      </c>
      <c r="J269" s="1">
        <v>148.9</v>
      </c>
      <c r="K269" s="1">
        <v>150.3</v>
      </c>
      <c r="L269" s="1">
        <v>113.2</v>
      </c>
      <c r="M269" s="1">
        <v>159.8</v>
      </c>
      <c r="N269" s="1">
        <v>142.1</v>
      </c>
      <c r="O269" s="1">
        <v>161.8</v>
      </c>
      <c r="P269" s="1">
        <v>152.3</v>
      </c>
      <c r="Q269" s="1">
        <v>182.4</v>
      </c>
      <c r="R269" s="1">
        <v>154.7</v>
      </c>
      <c r="S269" s="1">
        <v>150.0</v>
      </c>
      <c r="T269" s="1">
        <v>154.1</v>
      </c>
      <c r="U269" s="1" t="s">
        <v>32</v>
      </c>
      <c r="V269" s="1">
        <v>144.9</v>
      </c>
      <c r="W269" s="1">
        <v>151.7</v>
      </c>
      <c r="X269" s="1">
        <v>158.2</v>
      </c>
      <c r="Y269" s="1">
        <v>141.4</v>
      </c>
      <c r="Z269" s="1">
        <v>153.2</v>
      </c>
      <c r="AA269" s="1">
        <v>161.8</v>
      </c>
      <c r="AB269" s="1">
        <v>151.2</v>
      </c>
      <c r="AC269" s="1">
        <v>151.7</v>
      </c>
      <c r="AD269" s="1">
        <v>152.7</v>
      </c>
    </row>
    <row r="270" ht="15.75" customHeight="1">
      <c r="A270" s="1" t="s">
        <v>33</v>
      </c>
      <c r="B270" s="1">
        <v>2020.0</v>
      </c>
      <c r="C270" s="1" t="s">
        <v>40</v>
      </c>
      <c r="D270" s="1">
        <v>152.7</v>
      </c>
      <c r="E270" s="1">
        <v>197.0</v>
      </c>
      <c r="F270" s="1">
        <v>154.6</v>
      </c>
      <c r="G270" s="1">
        <v>153.4</v>
      </c>
      <c r="H270" s="1">
        <v>132.9</v>
      </c>
      <c r="I270" s="1">
        <v>151.8</v>
      </c>
      <c r="J270" s="1">
        <v>171.2</v>
      </c>
      <c r="K270" s="1">
        <v>152.0</v>
      </c>
      <c r="L270" s="1">
        <v>116.3</v>
      </c>
      <c r="M270" s="1">
        <v>158.8</v>
      </c>
      <c r="N270" s="1">
        <v>135.6</v>
      </c>
      <c r="O270" s="1">
        <v>161.7</v>
      </c>
      <c r="P270" s="1">
        <v>157.0</v>
      </c>
      <c r="Q270" s="1">
        <v>186.7</v>
      </c>
      <c r="R270" s="1">
        <v>149.1</v>
      </c>
      <c r="S270" s="1">
        <v>136.6</v>
      </c>
      <c r="T270" s="1">
        <v>147.2</v>
      </c>
      <c r="U270" s="1">
        <v>154.7</v>
      </c>
      <c r="V270" s="1">
        <v>137.1</v>
      </c>
      <c r="W270" s="1">
        <v>140.4</v>
      </c>
      <c r="X270" s="1">
        <v>148.1</v>
      </c>
      <c r="Y270" s="1">
        <v>129.3</v>
      </c>
      <c r="Z270" s="1">
        <v>144.5</v>
      </c>
      <c r="AA270" s="1">
        <v>152.5</v>
      </c>
      <c r="AB270" s="1">
        <v>152.2</v>
      </c>
      <c r="AC270" s="1">
        <v>142.0</v>
      </c>
      <c r="AD270" s="1">
        <v>150.8</v>
      </c>
    </row>
    <row r="271" ht="15.75" customHeight="1">
      <c r="A271" s="1" t="s">
        <v>34</v>
      </c>
      <c r="B271" s="1">
        <v>2020.0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</v>
      </c>
      <c r="H271" s="1">
        <v>136.3</v>
      </c>
      <c r="I271" s="1">
        <v>147.2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</v>
      </c>
      <c r="P271" s="1">
        <v>154.0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154.7</v>
      </c>
      <c r="V271" s="1">
        <v>141.9</v>
      </c>
      <c r="W271" s="1">
        <v>146.4</v>
      </c>
      <c r="X271" s="1">
        <v>154.4</v>
      </c>
      <c r="Y271" s="1">
        <v>135.0</v>
      </c>
      <c r="Z271" s="1">
        <v>148.3</v>
      </c>
      <c r="AA271" s="1">
        <v>156.4</v>
      </c>
      <c r="AB271" s="1">
        <v>151.6</v>
      </c>
      <c r="AC271" s="1">
        <v>147.0</v>
      </c>
      <c r="AD271" s="1">
        <v>151.8</v>
      </c>
    </row>
    <row r="272" ht="15.75" customHeight="1">
      <c r="A272" s="1" t="s">
        <v>30</v>
      </c>
      <c r="B272" s="1">
        <v>2020.0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</v>
      </c>
      <c r="H272" s="1">
        <v>139.8</v>
      </c>
      <c r="I272" s="1">
        <v>146.9</v>
      </c>
      <c r="J272" s="1">
        <v>171.0</v>
      </c>
      <c r="K272" s="1">
        <v>149.9</v>
      </c>
      <c r="L272" s="1">
        <v>114.2</v>
      </c>
      <c r="M272" s="1">
        <v>160.0</v>
      </c>
      <c r="N272" s="1">
        <v>143.5</v>
      </c>
      <c r="O272" s="1">
        <v>161.5</v>
      </c>
      <c r="P272" s="1">
        <v>155.3</v>
      </c>
      <c r="Q272" s="1">
        <v>180.9</v>
      </c>
      <c r="R272" s="1">
        <v>155.1</v>
      </c>
      <c r="S272" s="1">
        <v>149.3</v>
      </c>
      <c r="T272" s="1">
        <v>154.3</v>
      </c>
      <c r="U272" s="1" t="s">
        <v>32</v>
      </c>
      <c r="V272" s="1">
        <v>145.8</v>
      </c>
      <c r="W272" s="1">
        <v>151.9</v>
      </c>
      <c r="X272" s="1">
        <v>158.8</v>
      </c>
      <c r="Y272" s="1">
        <v>143.6</v>
      </c>
      <c r="Z272" s="1">
        <v>152.2</v>
      </c>
      <c r="AA272" s="1">
        <v>162.7</v>
      </c>
      <c r="AB272" s="1">
        <v>153.6</v>
      </c>
      <c r="AC272" s="1">
        <v>153.0</v>
      </c>
      <c r="AD272" s="1">
        <v>154.7</v>
      </c>
    </row>
    <row r="273" ht="15.75" customHeight="1">
      <c r="A273" s="1" t="s">
        <v>33</v>
      </c>
      <c r="B273" s="1">
        <v>2020.0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</v>
      </c>
      <c r="L273" s="1">
        <v>116.8</v>
      </c>
      <c r="M273" s="1">
        <v>160.0</v>
      </c>
      <c r="N273" s="1">
        <v>136.5</v>
      </c>
      <c r="O273" s="1">
        <v>163.3</v>
      </c>
      <c r="P273" s="1">
        <v>159.9</v>
      </c>
      <c r="Q273" s="1">
        <v>187.2</v>
      </c>
      <c r="R273" s="1">
        <v>150.0</v>
      </c>
      <c r="S273" s="1">
        <v>135.2</v>
      </c>
      <c r="T273" s="1">
        <v>147.8</v>
      </c>
      <c r="U273" s="1">
        <v>155.5</v>
      </c>
      <c r="V273" s="1">
        <v>138.3</v>
      </c>
      <c r="W273" s="1">
        <v>144.5</v>
      </c>
      <c r="X273" s="1">
        <v>148.7</v>
      </c>
      <c r="Y273" s="1">
        <v>133.9</v>
      </c>
      <c r="Z273" s="1">
        <v>141.2</v>
      </c>
      <c r="AA273" s="1">
        <v>155.5</v>
      </c>
      <c r="AB273" s="1">
        <v>155.2</v>
      </c>
      <c r="AC273" s="1">
        <v>144.8</v>
      </c>
      <c r="AD273" s="1">
        <v>152.9</v>
      </c>
    </row>
    <row r="274" ht="15.75" customHeight="1">
      <c r="A274" s="1" t="s">
        <v>34</v>
      </c>
      <c r="B274" s="1">
        <v>2020.0</v>
      </c>
      <c r="C274" s="1" t="s">
        <v>41</v>
      </c>
      <c r="D274" s="1">
        <v>148.9</v>
      </c>
      <c r="E274" s="1">
        <v>190.9</v>
      </c>
      <c r="F274" s="1">
        <v>150.8</v>
      </c>
      <c r="G274" s="1">
        <v>153.3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160.0</v>
      </c>
      <c r="N274" s="1">
        <v>140.6</v>
      </c>
      <c r="O274" s="1">
        <v>162.3</v>
      </c>
      <c r="P274" s="1">
        <v>157.0</v>
      </c>
      <c r="Q274" s="1">
        <v>182.6</v>
      </c>
      <c r="R274" s="1">
        <v>153.1</v>
      </c>
      <c r="S274" s="1">
        <v>143.4</v>
      </c>
      <c r="T274" s="1">
        <v>151.7</v>
      </c>
      <c r="U274" s="1">
        <v>155.5</v>
      </c>
      <c r="V274" s="1">
        <v>143.0</v>
      </c>
      <c r="W274" s="1">
        <v>148.4</v>
      </c>
      <c r="X274" s="1">
        <v>155.0</v>
      </c>
      <c r="Y274" s="1">
        <v>138.5</v>
      </c>
      <c r="Z274" s="1">
        <v>146.0</v>
      </c>
      <c r="AA274" s="1">
        <v>158.5</v>
      </c>
      <c r="AB274" s="1">
        <v>154.3</v>
      </c>
      <c r="AC274" s="1">
        <v>149.0</v>
      </c>
      <c r="AD274" s="1">
        <v>153.9</v>
      </c>
    </row>
    <row r="275" ht="15.75" customHeight="1">
      <c r="A275" s="1" t="s">
        <v>30</v>
      </c>
      <c r="B275" s="1">
        <v>2020.0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147.0</v>
      </c>
      <c r="J275" s="1">
        <v>178.8</v>
      </c>
      <c r="K275" s="1">
        <v>149.3</v>
      </c>
      <c r="L275" s="1">
        <v>115.1</v>
      </c>
      <c r="M275" s="1">
        <v>160.0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</v>
      </c>
      <c r="AA275" s="1">
        <v>161.1</v>
      </c>
      <c r="AB275" s="1">
        <v>157.4</v>
      </c>
      <c r="AC275" s="1">
        <v>153.7</v>
      </c>
      <c r="AD275" s="1">
        <v>155.4</v>
      </c>
    </row>
    <row r="276" ht="15.75" customHeight="1">
      <c r="A276" s="1" t="s">
        <v>33</v>
      </c>
      <c r="B276" s="1">
        <v>2020.0</v>
      </c>
      <c r="C276" s="1" t="s">
        <v>42</v>
      </c>
      <c r="D276" s="1">
        <v>151.5</v>
      </c>
      <c r="E276" s="1">
        <v>193.1</v>
      </c>
      <c r="F276" s="1">
        <v>157.3</v>
      </c>
      <c r="G276" s="1">
        <v>153.9</v>
      </c>
      <c r="H276" s="1">
        <v>134.4</v>
      </c>
      <c r="I276" s="1">
        <v>155.4</v>
      </c>
      <c r="J276" s="1">
        <v>202.0</v>
      </c>
      <c r="K276" s="1">
        <v>150.8</v>
      </c>
      <c r="L276" s="1">
        <v>118.9</v>
      </c>
      <c r="M276" s="1">
        <v>160.9</v>
      </c>
      <c r="N276" s="1">
        <v>137.7</v>
      </c>
      <c r="O276" s="1">
        <v>164.4</v>
      </c>
      <c r="P276" s="1">
        <v>161.3</v>
      </c>
      <c r="Q276" s="1">
        <v>188.7</v>
      </c>
      <c r="R276" s="1">
        <v>150.2</v>
      </c>
      <c r="S276" s="1">
        <v>136.3</v>
      </c>
      <c r="T276" s="1">
        <v>148.1</v>
      </c>
      <c r="U276" s="1">
        <v>156.3</v>
      </c>
      <c r="V276" s="1">
        <v>137.2</v>
      </c>
      <c r="W276" s="1">
        <v>145.4</v>
      </c>
      <c r="X276" s="1">
        <v>150.0</v>
      </c>
      <c r="Y276" s="1">
        <v>135.1</v>
      </c>
      <c r="Z276" s="1">
        <v>141.8</v>
      </c>
      <c r="AA276" s="1">
        <v>154.9</v>
      </c>
      <c r="AB276" s="1">
        <v>159.8</v>
      </c>
      <c r="AC276" s="1">
        <v>146.0</v>
      </c>
      <c r="AD276" s="1">
        <v>154.0</v>
      </c>
    </row>
    <row r="277" ht="15.75" customHeight="1">
      <c r="A277" s="1" t="s">
        <v>34</v>
      </c>
      <c r="B277" s="1">
        <v>2020.0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138.2</v>
      </c>
      <c r="I277" s="1">
        <v>150.9</v>
      </c>
      <c r="J277" s="1">
        <v>186.7</v>
      </c>
      <c r="K277" s="1">
        <v>149.8</v>
      </c>
      <c r="L277" s="1">
        <v>116.4</v>
      </c>
      <c r="M277" s="1">
        <v>160.3</v>
      </c>
      <c r="N277" s="1">
        <v>142.2</v>
      </c>
      <c r="O277" s="1">
        <v>162.9</v>
      </c>
      <c r="P277" s="1">
        <v>158.0</v>
      </c>
      <c r="Q277" s="1">
        <v>184.4</v>
      </c>
      <c r="R277" s="1">
        <v>153.4</v>
      </c>
      <c r="S277" s="1">
        <v>144.3</v>
      </c>
      <c r="T277" s="1">
        <v>152.0</v>
      </c>
      <c r="U277" s="1">
        <v>156.3</v>
      </c>
      <c r="V277" s="1">
        <v>142.9</v>
      </c>
      <c r="W277" s="1">
        <v>148.7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150.0</v>
      </c>
      <c r="AD277" s="1">
        <v>154.7</v>
      </c>
    </row>
    <row r="278" ht="15.75" customHeight="1">
      <c r="A278" s="1" t="s">
        <v>30</v>
      </c>
      <c r="B278" s="1">
        <v>2020.0</v>
      </c>
      <c r="C278" s="1" t="s">
        <v>43</v>
      </c>
      <c r="D278" s="1">
        <v>146.0</v>
      </c>
      <c r="E278" s="1">
        <v>186.3</v>
      </c>
      <c r="F278" s="1">
        <v>159.2</v>
      </c>
      <c r="G278" s="1">
        <v>153.6</v>
      </c>
      <c r="H278" s="1">
        <v>142.6</v>
      </c>
      <c r="I278" s="1">
        <v>147.2</v>
      </c>
      <c r="J278" s="1">
        <v>200.6</v>
      </c>
      <c r="K278" s="1">
        <v>150.3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155.7</v>
      </c>
      <c r="S278" s="1">
        <v>150.6</v>
      </c>
      <c r="T278" s="1">
        <v>155.0</v>
      </c>
      <c r="U278" s="1" t="s">
        <v>32</v>
      </c>
      <c r="V278" s="1">
        <v>146.8</v>
      </c>
      <c r="W278" s="1">
        <v>152.0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156.2</v>
      </c>
      <c r="AC278" s="1">
        <v>154.3</v>
      </c>
      <c r="AD278" s="1">
        <v>157.5</v>
      </c>
    </row>
    <row r="279" ht="15.75" customHeight="1">
      <c r="A279" s="1" t="s">
        <v>33</v>
      </c>
      <c r="B279" s="1">
        <v>2020.0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153.7</v>
      </c>
      <c r="H279" s="1">
        <v>135.7</v>
      </c>
      <c r="I279" s="1">
        <v>155.7</v>
      </c>
      <c r="J279" s="1">
        <v>226.0</v>
      </c>
      <c r="K279" s="1">
        <v>152.2</v>
      </c>
      <c r="L279" s="1">
        <v>118.1</v>
      </c>
      <c r="M279" s="1">
        <v>161.3</v>
      </c>
      <c r="N279" s="1">
        <v>139.2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</v>
      </c>
      <c r="U279" s="1">
        <v>156.5</v>
      </c>
      <c r="V279" s="1">
        <v>137.1</v>
      </c>
      <c r="W279" s="1">
        <v>145.1</v>
      </c>
      <c r="X279" s="1">
        <v>151.0</v>
      </c>
      <c r="Y279" s="1">
        <v>135.4</v>
      </c>
      <c r="Z279" s="1">
        <v>142.0</v>
      </c>
      <c r="AA279" s="1">
        <v>155.7</v>
      </c>
      <c r="AB279" s="1">
        <v>158.1</v>
      </c>
      <c r="AC279" s="1">
        <v>146.2</v>
      </c>
      <c r="AD279" s="1">
        <v>155.2</v>
      </c>
    </row>
    <row r="280" ht="15.75" customHeight="1">
      <c r="A280" s="1" t="s">
        <v>34</v>
      </c>
      <c r="B280" s="1">
        <v>2020.0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151.2</v>
      </c>
      <c r="J280" s="1">
        <v>209.2</v>
      </c>
      <c r="K280" s="1">
        <v>150.9</v>
      </c>
      <c r="L280" s="1">
        <v>116.2</v>
      </c>
      <c r="M280" s="1">
        <v>161.0</v>
      </c>
      <c r="N280" s="1">
        <v>144.0</v>
      </c>
      <c r="O280" s="1">
        <v>163.2</v>
      </c>
      <c r="P280" s="1">
        <v>161.4</v>
      </c>
      <c r="Q280" s="1">
        <v>184.3</v>
      </c>
      <c r="R280" s="1">
        <v>153.7</v>
      </c>
      <c r="S280" s="1">
        <v>144.6</v>
      </c>
      <c r="T280" s="1">
        <v>152.3</v>
      </c>
      <c r="U280" s="1">
        <v>156.5</v>
      </c>
      <c r="V280" s="1">
        <v>143.1</v>
      </c>
      <c r="W280" s="1">
        <v>148.7</v>
      </c>
      <c r="X280" s="1">
        <v>156.3</v>
      </c>
      <c r="Y280" s="1">
        <v>140.6</v>
      </c>
      <c r="Z280" s="1">
        <v>146.5</v>
      </c>
      <c r="AA280" s="1">
        <v>158.5</v>
      </c>
      <c r="AB280" s="1">
        <v>157.0</v>
      </c>
      <c r="AC280" s="1">
        <v>150.4</v>
      </c>
      <c r="AD280" s="1">
        <v>156.4</v>
      </c>
    </row>
    <row r="281" ht="15.75" customHeight="1">
      <c r="A281" s="1" t="s">
        <v>30</v>
      </c>
      <c r="B281" s="1">
        <v>2020.0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162.0</v>
      </c>
      <c r="N281" s="1">
        <v>150.0</v>
      </c>
      <c r="O281" s="1">
        <v>162.7</v>
      </c>
      <c r="P281" s="1">
        <v>163.4</v>
      </c>
      <c r="Q281" s="1">
        <v>183.4</v>
      </c>
      <c r="R281" s="1">
        <v>156.3</v>
      </c>
      <c r="S281" s="1">
        <v>151.0</v>
      </c>
      <c r="T281" s="1">
        <v>155.5</v>
      </c>
      <c r="U281" s="1" t="s">
        <v>32</v>
      </c>
      <c r="V281" s="1">
        <v>147.5</v>
      </c>
      <c r="W281" s="1">
        <v>152.8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156.2</v>
      </c>
      <c r="AC281" s="1">
        <v>154.5</v>
      </c>
      <c r="AD281" s="1">
        <v>159.8</v>
      </c>
    </row>
    <row r="282" ht="15.75" customHeight="1">
      <c r="A282" s="1" t="s">
        <v>33</v>
      </c>
      <c r="B282" s="1">
        <v>2020.0</v>
      </c>
      <c r="C282" s="1" t="s">
        <v>45</v>
      </c>
      <c r="D282" s="1">
        <v>149.7</v>
      </c>
      <c r="E282" s="1">
        <v>195.5</v>
      </c>
      <c r="F282" s="1">
        <v>176.9</v>
      </c>
      <c r="G282" s="1">
        <v>153.9</v>
      </c>
      <c r="H282" s="1">
        <v>138.0</v>
      </c>
      <c r="I282" s="1">
        <v>150.5</v>
      </c>
      <c r="J282" s="1">
        <v>245.3</v>
      </c>
      <c r="K282" s="1">
        <v>158.7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167.0</v>
      </c>
      <c r="Q282" s="1">
        <v>188.8</v>
      </c>
      <c r="R282" s="1">
        <v>151.1</v>
      </c>
      <c r="S282" s="1">
        <v>136.4</v>
      </c>
      <c r="T282" s="1">
        <v>148.8</v>
      </c>
      <c r="U282" s="1">
        <v>158.0</v>
      </c>
      <c r="V282" s="1">
        <v>137.3</v>
      </c>
      <c r="W282" s="1">
        <v>145.1</v>
      </c>
      <c r="X282" s="1">
        <v>152.0</v>
      </c>
      <c r="Y282" s="1">
        <v>135.2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156.7</v>
      </c>
    </row>
    <row r="283" ht="15.75" customHeight="1">
      <c r="A283" s="1" t="s">
        <v>34</v>
      </c>
      <c r="B283" s="1">
        <v>2020.0</v>
      </c>
      <c r="C283" s="1" t="s">
        <v>45</v>
      </c>
      <c r="D283" s="1">
        <v>146.8</v>
      </c>
      <c r="E283" s="1">
        <v>191.0</v>
      </c>
      <c r="F283" s="1">
        <v>173.6</v>
      </c>
      <c r="G283" s="1">
        <v>153.8</v>
      </c>
      <c r="H283" s="1">
        <v>142.7</v>
      </c>
      <c r="I283" s="1">
        <v>148.4</v>
      </c>
      <c r="J283" s="1">
        <v>230.0</v>
      </c>
      <c r="K283" s="1">
        <v>156.8</v>
      </c>
      <c r="L283" s="1">
        <v>115.7</v>
      </c>
      <c r="M283" s="1">
        <v>161.8</v>
      </c>
      <c r="N283" s="1">
        <v>146.5</v>
      </c>
      <c r="O283" s="1">
        <v>163.8</v>
      </c>
      <c r="P283" s="1">
        <v>164.7</v>
      </c>
      <c r="Q283" s="1">
        <v>184.8</v>
      </c>
      <c r="R283" s="1">
        <v>154.3</v>
      </c>
      <c r="S283" s="1">
        <v>144.9</v>
      </c>
      <c r="T283" s="1">
        <v>152.8</v>
      </c>
      <c r="U283" s="1">
        <v>158.0</v>
      </c>
      <c r="V283" s="1">
        <v>143.6</v>
      </c>
      <c r="W283" s="1">
        <v>149.2</v>
      </c>
      <c r="X283" s="1">
        <v>157.2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150.7</v>
      </c>
      <c r="AD283" s="1">
        <v>158.4</v>
      </c>
    </row>
    <row r="284" ht="15.75" customHeight="1">
      <c r="A284" s="1" t="s">
        <v>30</v>
      </c>
      <c r="B284" s="1">
        <v>2020.0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154.0</v>
      </c>
      <c r="H284" s="1">
        <v>150.0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157.0</v>
      </c>
      <c r="S284" s="1">
        <v>151.6</v>
      </c>
      <c r="T284" s="1">
        <v>156.3</v>
      </c>
      <c r="U284" s="1" t="s">
        <v>32</v>
      </c>
      <c r="V284" s="1">
        <v>148.7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155.2</v>
      </c>
      <c r="AD284" s="1">
        <v>160.7</v>
      </c>
    </row>
    <row r="285" ht="15.75" customHeight="1">
      <c r="A285" s="1" t="s">
        <v>33</v>
      </c>
      <c r="B285" s="1">
        <v>2020.0</v>
      </c>
      <c r="C285" s="1" t="s">
        <v>46</v>
      </c>
      <c r="D285" s="1">
        <v>149.0</v>
      </c>
      <c r="E285" s="1">
        <v>195.7</v>
      </c>
      <c r="F285" s="1">
        <v>178.3</v>
      </c>
      <c r="G285" s="1">
        <v>154.2</v>
      </c>
      <c r="H285" s="1">
        <v>140.7</v>
      </c>
      <c r="I285" s="1">
        <v>149.7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</v>
      </c>
      <c r="O285" s="1">
        <v>166.1</v>
      </c>
      <c r="P285" s="1">
        <v>167.0</v>
      </c>
      <c r="Q285" s="1">
        <v>190.2</v>
      </c>
      <c r="R285" s="1">
        <v>151.9</v>
      </c>
      <c r="S285" s="1">
        <v>136.7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</v>
      </c>
      <c r="AA285" s="1">
        <v>156.9</v>
      </c>
      <c r="AB285" s="1">
        <v>157.9</v>
      </c>
      <c r="AC285" s="1">
        <v>146.9</v>
      </c>
      <c r="AD285" s="1">
        <v>156.9</v>
      </c>
    </row>
    <row r="286" ht="15.75" customHeight="1">
      <c r="A286" s="1" t="s">
        <v>34</v>
      </c>
      <c r="B286" s="1">
        <v>2020.0</v>
      </c>
      <c r="C286" s="1" t="s">
        <v>46</v>
      </c>
      <c r="D286" s="1">
        <v>146.0</v>
      </c>
      <c r="E286" s="1">
        <v>191.0</v>
      </c>
      <c r="F286" s="1">
        <v>175.3</v>
      </c>
      <c r="G286" s="1">
        <v>154.1</v>
      </c>
      <c r="H286" s="1">
        <v>146.6</v>
      </c>
      <c r="I286" s="1">
        <v>147.7</v>
      </c>
      <c r="J286" s="1">
        <v>230.5</v>
      </c>
      <c r="K286" s="1">
        <v>160.2</v>
      </c>
      <c r="L286" s="1">
        <v>115.3</v>
      </c>
      <c r="M286" s="1">
        <v>163.0</v>
      </c>
      <c r="N286" s="1">
        <v>149.2</v>
      </c>
      <c r="O286" s="1">
        <v>164.8</v>
      </c>
      <c r="P286" s="1">
        <v>165.4</v>
      </c>
      <c r="Q286" s="1">
        <v>185.4</v>
      </c>
      <c r="R286" s="1">
        <v>155.0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149.7</v>
      </c>
      <c r="X286" s="1">
        <v>158.3</v>
      </c>
      <c r="Y286" s="1">
        <v>140.7</v>
      </c>
      <c r="Z286" s="1">
        <v>148.5</v>
      </c>
      <c r="AA286" s="1">
        <v>159.4</v>
      </c>
      <c r="AB286" s="1">
        <v>157.1</v>
      </c>
      <c r="AC286" s="1">
        <v>151.2</v>
      </c>
      <c r="AD286" s="1">
        <v>158.9</v>
      </c>
    </row>
    <row r="287" ht="15.75" customHeight="1">
      <c r="A287" s="1" t="s">
        <v>30</v>
      </c>
      <c r="B287" s="1">
        <v>2021.0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154.0</v>
      </c>
      <c r="H287" s="1">
        <v>154.8</v>
      </c>
      <c r="I287" s="1">
        <v>147.0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156.2</v>
      </c>
      <c r="AC287" s="1">
        <v>155.9</v>
      </c>
      <c r="AD287" s="1">
        <v>158.5</v>
      </c>
    </row>
    <row r="288" ht="15.75" customHeight="1">
      <c r="A288" s="1" t="s">
        <v>33</v>
      </c>
      <c r="B288" s="1">
        <v>2021.0</v>
      </c>
      <c r="C288" s="1" t="s">
        <v>31</v>
      </c>
      <c r="D288" s="1">
        <v>148.0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163.0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</v>
      </c>
      <c r="T288" s="1">
        <v>150.2</v>
      </c>
      <c r="U288" s="1">
        <v>157.7</v>
      </c>
      <c r="V288" s="1">
        <v>142.9</v>
      </c>
      <c r="W288" s="1">
        <v>145.7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157.7</v>
      </c>
      <c r="AC288" s="1">
        <v>147.6</v>
      </c>
      <c r="AD288" s="1">
        <v>156.0</v>
      </c>
    </row>
    <row r="289" ht="15.75" customHeight="1">
      <c r="A289" s="1" t="s">
        <v>34</v>
      </c>
      <c r="B289" s="1">
        <v>2021.0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164.0</v>
      </c>
      <c r="N289" s="1">
        <v>151.8</v>
      </c>
      <c r="O289" s="1">
        <v>165.6</v>
      </c>
      <c r="P289" s="1">
        <v>161.0</v>
      </c>
      <c r="Q289" s="1">
        <v>186.5</v>
      </c>
      <c r="R289" s="1">
        <v>155.5</v>
      </c>
      <c r="S289" s="1">
        <v>146.1</v>
      </c>
      <c r="T289" s="1">
        <v>154.2</v>
      </c>
      <c r="U289" s="1">
        <v>157.7</v>
      </c>
      <c r="V289" s="1">
        <v>147.9</v>
      </c>
      <c r="W289" s="1">
        <v>150.0</v>
      </c>
      <c r="X289" s="1">
        <v>159.3</v>
      </c>
      <c r="Y289" s="1">
        <v>141.9</v>
      </c>
      <c r="Z289" s="1">
        <v>149.6</v>
      </c>
      <c r="AA289" s="1">
        <v>159.2</v>
      </c>
      <c r="AB289" s="1">
        <v>156.8</v>
      </c>
      <c r="AC289" s="1">
        <v>151.9</v>
      </c>
      <c r="AD289" s="1">
        <v>157.3</v>
      </c>
    </row>
    <row r="290" ht="15.75" customHeight="1">
      <c r="A290" s="1" t="s">
        <v>30</v>
      </c>
      <c r="B290" s="1">
        <v>2021.0</v>
      </c>
      <c r="C290" s="1" t="s">
        <v>35</v>
      </c>
      <c r="D290" s="1">
        <v>142.8</v>
      </c>
      <c r="E290" s="1">
        <v>184.0</v>
      </c>
      <c r="F290" s="1">
        <v>168.0</v>
      </c>
      <c r="G290" s="1">
        <v>154.4</v>
      </c>
      <c r="H290" s="1">
        <v>163.0</v>
      </c>
      <c r="I290" s="1">
        <v>147.8</v>
      </c>
      <c r="J290" s="1">
        <v>149.7</v>
      </c>
      <c r="K290" s="1">
        <v>158.3</v>
      </c>
      <c r="L290" s="1">
        <v>111.8</v>
      </c>
      <c r="M290" s="1">
        <v>165.0</v>
      </c>
      <c r="N290" s="1">
        <v>160.0</v>
      </c>
      <c r="O290" s="1">
        <v>165.8</v>
      </c>
      <c r="P290" s="1">
        <v>154.7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</v>
      </c>
      <c r="X290" s="1">
        <v>164.3</v>
      </c>
      <c r="Y290" s="1">
        <v>150.2</v>
      </c>
      <c r="Z290" s="1">
        <v>157.0</v>
      </c>
      <c r="AA290" s="1">
        <v>163.6</v>
      </c>
      <c r="AB290" s="1">
        <v>155.2</v>
      </c>
      <c r="AC290" s="1">
        <v>157.2</v>
      </c>
      <c r="AD290" s="1">
        <v>156.7</v>
      </c>
    </row>
    <row r="291" ht="15.75" customHeight="1">
      <c r="A291" s="1" t="s">
        <v>33</v>
      </c>
      <c r="B291" s="1">
        <v>2021.0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154.0</v>
      </c>
      <c r="J291" s="1">
        <v>180.2</v>
      </c>
      <c r="K291" s="1">
        <v>159.8</v>
      </c>
      <c r="L291" s="1">
        <v>114.9</v>
      </c>
      <c r="M291" s="1">
        <v>162.5</v>
      </c>
      <c r="N291" s="1">
        <v>149.2</v>
      </c>
      <c r="O291" s="1">
        <v>169.4</v>
      </c>
      <c r="P291" s="1">
        <v>160.8</v>
      </c>
      <c r="Q291" s="1">
        <v>193.3</v>
      </c>
      <c r="R291" s="1">
        <v>154.2</v>
      </c>
      <c r="S291" s="1">
        <v>138.2</v>
      </c>
      <c r="T291" s="1">
        <v>151.8</v>
      </c>
      <c r="U291" s="1">
        <v>159.8</v>
      </c>
      <c r="V291" s="1">
        <v>149.1</v>
      </c>
      <c r="W291" s="1">
        <v>146.5</v>
      </c>
      <c r="X291" s="1">
        <v>156.3</v>
      </c>
      <c r="Y291" s="1">
        <v>140.5</v>
      </c>
      <c r="Z291" s="1">
        <v>147.3</v>
      </c>
      <c r="AA291" s="1">
        <v>156.6</v>
      </c>
      <c r="AB291" s="1">
        <v>156.7</v>
      </c>
      <c r="AC291" s="1">
        <v>149.3</v>
      </c>
      <c r="AD291" s="1">
        <v>156.5</v>
      </c>
    </row>
    <row r="292" ht="15.75" customHeight="1">
      <c r="A292" s="1" t="s">
        <v>34</v>
      </c>
      <c r="B292" s="1">
        <v>2021.0</v>
      </c>
      <c r="C292" s="1" t="s">
        <v>35</v>
      </c>
      <c r="D292" s="1">
        <v>144.3</v>
      </c>
      <c r="E292" s="1">
        <v>186.5</v>
      </c>
      <c r="F292" s="1">
        <v>168.7</v>
      </c>
      <c r="G292" s="1">
        <v>154.7</v>
      </c>
      <c r="H292" s="1">
        <v>158.7</v>
      </c>
      <c r="I292" s="1">
        <v>150.7</v>
      </c>
      <c r="J292" s="1">
        <v>160.0</v>
      </c>
      <c r="K292" s="1">
        <v>158.8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157.2</v>
      </c>
      <c r="S292" s="1">
        <v>147.4</v>
      </c>
      <c r="T292" s="1">
        <v>155.8</v>
      </c>
      <c r="U292" s="1">
        <v>159.8</v>
      </c>
      <c r="V292" s="1">
        <v>152.4</v>
      </c>
      <c r="W292" s="1">
        <v>150.9</v>
      </c>
      <c r="X292" s="1">
        <v>161.3</v>
      </c>
      <c r="Y292" s="1">
        <v>145.1</v>
      </c>
      <c r="Z292" s="1">
        <v>151.5</v>
      </c>
      <c r="AA292" s="1">
        <v>159.5</v>
      </c>
      <c r="AB292" s="1">
        <v>155.8</v>
      </c>
      <c r="AC292" s="1">
        <v>153.4</v>
      </c>
      <c r="AD292" s="1">
        <v>156.6</v>
      </c>
    </row>
    <row r="293" ht="15.75" customHeight="1">
      <c r="A293" s="1" t="s">
        <v>30</v>
      </c>
      <c r="B293" s="1">
        <v>2021.0</v>
      </c>
      <c r="C293" s="1" t="s">
        <v>36</v>
      </c>
      <c r="D293" s="1">
        <v>142.5</v>
      </c>
      <c r="E293" s="1">
        <v>189.4</v>
      </c>
      <c r="F293" s="1">
        <v>163.2</v>
      </c>
      <c r="G293" s="1">
        <v>154.5</v>
      </c>
      <c r="H293" s="1">
        <v>168.2</v>
      </c>
      <c r="I293" s="1">
        <v>150.5</v>
      </c>
      <c r="J293" s="1">
        <v>141.0</v>
      </c>
      <c r="K293" s="1">
        <v>159.2</v>
      </c>
      <c r="L293" s="1">
        <v>111.7</v>
      </c>
      <c r="M293" s="1">
        <v>164.0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48</v>
      </c>
      <c r="V293" s="1">
        <v>156.0</v>
      </c>
      <c r="W293" s="1">
        <v>154.8</v>
      </c>
      <c r="X293" s="1">
        <v>164.6</v>
      </c>
      <c r="Y293" s="1">
        <v>151.3</v>
      </c>
      <c r="Z293" s="1">
        <v>157.8</v>
      </c>
      <c r="AA293" s="1">
        <v>163.8</v>
      </c>
      <c r="AB293" s="1">
        <v>153.1</v>
      </c>
      <c r="AC293" s="1">
        <v>157.3</v>
      </c>
      <c r="AD293" s="1">
        <v>156.7</v>
      </c>
    </row>
    <row r="294" ht="15.75" customHeight="1">
      <c r="A294" s="1" t="s">
        <v>33</v>
      </c>
      <c r="B294" s="1">
        <v>2021.0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150.7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138.7</v>
      </c>
      <c r="T294" s="1">
        <v>152.6</v>
      </c>
      <c r="U294" s="1">
        <v>159.9</v>
      </c>
      <c r="V294" s="1">
        <v>154.8</v>
      </c>
      <c r="W294" s="1">
        <v>147.2</v>
      </c>
      <c r="X294" s="1">
        <v>156.9</v>
      </c>
      <c r="Y294" s="1">
        <v>141.7</v>
      </c>
      <c r="Z294" s="1">
        <v>148.6</v>
      </c>
      <c r="AA294" s="1">
        <v>157.6</v>
      </c>
      <c r="AB294" s="1">
        <v>154.9</v>
      </c>
      <c r="AC294" s="1">
        <v>150.0</v>
      </c>
      <c r="AD294" s="1">
        <v>156.9</v>
      </c>
    </row>
    <row r="295" ht="15.75" customHeight="1">
      <c r="A295" s="1" t="s">
        <v>34</v>
      </c>
      <c r="B295" s="1">
        <v>2021.0</v>
      </c>
      <c r="C295" s="1" t="s">
        <v>36</v>
      </c>
      <c r="D295" s="1">
        <v>144.1</v>
      </c>
      <c r="E295" s="1">
        <v>192.2</v>
      </c>
      <c r="F295" s="1">
        <v>163.8</v>
      </c>
      <c r="G295" s="1">
        <v>154.9</v>
      </c>
      <c r="H295" s="1">
        <v>163.9</v>
      </c>
      <c r="I295" s="1">
        <v>153.7</v>
      </c>
      <c r="J295" s="1">
        <v>149.5</v>
      </c>
      <c r="K295" s="1">
        <v>159.8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156.7</v>
      </c>
      <c r="Q295" s="1">
        <v>188.1</v>
      </c>
      <c r="R295" s="1">
        <v>157.8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151.2</v>
      </c>
      <c r="X295" s="1">
        <v>161.7</v>
      </c>
      <c r="Y295" s="1">
        <v>146.2</v>
      </c>
      <c r="Z295" s="1">
        <v>152.6</v>
      </c>
      <c r="AA295" s="1">
        <v>160.2</v>
      </c>
      <c r="AB295" s="1">
        <v>153.8</v>
      </c>
      <c r="AC295" s="1">
        <v>153.8</v>
      </c>
      <c r="AD295" s="1">
        <v>156.8</v>
      </c>
    </row>
    <row r="296" ht="15.75" customHeight="1">
      <c r="A296" s="1" t="s">
        <v>30</v>
      </c>
      <c r="B296" s="1">
        <v>2021.0</v>
      </c>
      <c r="C296" s="1" t="s">
        <v>37</v>
      </c>
      <c r="D296" s="1">
        <v>142.7</v>
      </c>
      <c r="E296" s="1">
        <v>195.5</v>
      </c>
      <c r="F296" s="1">
        <v>163.4</v>
      </c>
      <c r="G296" s="1">
        <v>155.0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160.7</v>
      </c>
      <c r="S296" s="1">
        <v>155.1</v>
      </c>
      <c r="T296" s="1">
        <v>159.9</v>
      </c>
      <c r="U296" s="1" t="s">
        <v>48</v>
      </c>
      <c r="V296" s="1">
        <v>156.0</v>
      </c>
      <c r="W296" s="1">
        <v>155.5</v>
      </c>
      <c r="X296" s="1">
        <v>165.3</v>
      </c>
      <c r="Y296" s="1">
        <v>151.7</v>
      </c>
      <c r="Z296" s="1">
        <v>158.6</v>
      </c>
      <c r="AA296" s="1">
        <v>164.1</v>
      </c>
      <c r="AB296" s="1">
        <v>154.6</v>
      </c>
      <c r="AC296" s="1">
        <v>158.0</v>
      </c>
      <c r="AD296" s="1">
        <v>157.6</v>
      </c>
    </row>
    <row r="297" ht="15.75" customHeight="1">
      <c r="A297" s="1" t="s">
        <v>33</v>
      </c>
      <c r="B297" s="1">
        <v>2021.0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156.0</v>
      </c>
      <c r="H297" s="1">
        <v>161.4</v>
      </c>
      <c r="I297" s="1">
        <v>168.8</v>
      </c>
      <c r="J297" s="1">
        <v>161.6</v>
      </c>
      <c r="K297" s="1">
        <v>162.8</v>
      </c>
      <c r="L297" s="1">
        <v>114.8</v>
      </c>
      <c r="M297" s="1">
        <v>162.8</v>
      </c>
      <c r="N297" s="1">
        <v>151.5</v>
      </c>
      <c r="O297" s="1">
        <v>171.4</v>
      </c>
      <c r="P297" s="1">
        <v>162.0</v>
      </c>
      <c r="Q297" s="1">
        <v>194.4</v>
      </c>
      <c r="R297" s="1">
        <v>155.9</v>
      </c>
      <c r="S297" s="1">
        <v>139.3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158.0</v>
      </c>
    </row>
    <row r="298" ht="15.75" customHeight="1">
      <c r="A298" s="1" t="s">
        <v>34</v>
      </c>
      <c r="B298" s="1">
        <v>2021.0</v>
      </c>
      <c r="C298" s="1" t="s">
        <v>37</v>
      </c>
      <c r="D298" s="1">
        <v>144.3</v>
      </c>
      <c r="E298" s="1">
        <v>198.0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161.7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158.0</v>
      </c>
      <c r="Q298" s="1">
        <v>188.8</v>
      </c>
      <c r="R298" s="1">
        <v>158.8</v>
      </c>
      <c r="S298" s="1">
        <v>148.5</v>
      </c>
      <c r="T298" s="1">
        <v>157.3</v>
      </c>
      <c r="U298" s="1">
        <v>161.4</v>
      </c>
      <c r="V298" s="1">
        <v>155.6</v>
      </c>
      <c r="W298" s="1">
        <v>151.8</v>
      </c>
      <c r="X298" s="1">
        <v>162.3</v>
      </c>
      <c r="Y298" s="1">
        <v>146.6</v>
      </c>
      <c r="Z298" s="1">
        <v>153.2</v>
      </c>
      <c r="AA298" s="1">
        <v>160.3</v>
      </c>
      <c r="AB298" s="1">
        <v>155.4</v>
      </c>
      <c r="AC298" s="1">
        <v>154.4</v>
      </c>
      <c r="AD298" s="1">
        <v>157.8</v>
      </c>
    </row>
    <row r="299" ht="15.75" customHeight="1">
      <c r="A299" s="1" t="s">
        <v>30</v>
      </c>
      <c r="B299" s="1">
        <v>2021.0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</v>
      </c>
      <c r="H299" s="1">
        <v>184.4</v>
      </c>
      <c r="I299" s="1">
        <v>162.3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158.7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161.7</v>
      </c>
      <c r="W299" s="1">
        <v>158.8</v>
      </c>
      <c r="X299" s="1">
        <v>169.1</v>
      </c>
      <c r="Y299" s="1">
        <v>153.2</v>
      </c>
      <c r="Z299" s="1">
        <v>160.0</v>
      </c>
      <c r="AA299" s="1">
        <v>167.6</v>
      </c>
      <c r="AB299" s="1">
        <v>159.3</v>
      </c>
      <c r="AC299" s="1">
        <v>161.1</v>
      </c>
      <c r="AD299" s="1">
        <v>161.1</v>
      </c>
    </row>
    <row r="300" ht="15.75" customHeight="1">
      <c r="A300" s="1" t="s">
        <v>33</v>
      </c>
      <c r="B300" s="1">
        <v>2021.0</v>
      </c>
      <c r="C300" s="1" t="s">
        <v>38</v>
      </c>
      <c r="D300" s="1">
        <v>148.8</v>
      </c>
      <c r="E300" s="1">
        <v>204.3</v>
      </c>
      <c r="F300" s="1">
        <v>173.0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152.0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140.2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145.0</v>
      </c>
      <c r="Z300" s="1">
        <v>152.6</v>
      </c>
      <c r="AA300" s="1">
        <v>156.6</v>
      </c>
      <c r="AB300" s="1">
        <v>157.5</v>
      </c>
      <c r="AC300" s="1">
        <v>152.3</v>
      </c>
      <c r="AD300" s="1">
        <v>159.5</v>
      </c>
    </row>
    <row r="301" ht="15.75" customHeight="1">
      <c r="A301" s="1" t="s">
        <v>34</v>
      </c>
      <c r="B301" s="1">
        <v>2021.0</v>
      </c>
      <c r="C301" s="1" t="s">
        <v>38</v>
      </c>
      <c r="D301" s="1">
        <v>146.3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</v>
      </c>
      <c r="O301" s="1">
        <v>170.4</v>
      </c>
      <c r="P301" s="1">
        <v>160.7</v>
      </c>
      <c r="Q301" s="1">
        <v>191.9</v>
      </c>
      <c r="R301" s="1">
        <v>161.8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154.7</v>
      </c>
      <c r="X301" s="1">
        <v>165.8</v>
      </c>
      <c r="Y301" s="1">
        <v>148.9</v>
      </c>
      <c r="Z301" s="1">
        <v>155.8</v>
      </c>
      <c r="AA301" s="1">
        <v>161.2</v>
      </c>
      <c r="AB301" s="1">
        <v>158.6</v>
      </c>
      <c r="AC301" s="1">
        <v>156.8</v>
      </c>
      <c r="AD301" s="1">
        <v>160.4</v>
      </c>
    </row>
    <row r="302" ht="15.75" customHeight="1">
      <c r="A302" s="1" t="s">
        <v>30</v>
      </c>
      <c r="B302" s="1">
        <v>2021.0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144.7</v>
      </c>
      <c r="K302" s="1">
        <v>165.5</v>
      </c>
      <c r="L302" s="1">
        <v>114.6</v>
      </c>
      <c r="M302" s="1">
        <v>170.0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159.2</v>
      </c>
      <c r="X302" s="1">
        <v>169.7</v>
      </c>
      <c r="Y302" s="1">
        <v>154.2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ht="15.75" customHeight="1">
      <c r="A303" s="1" t="s">
        <v>33</v>
      </c>
      <c r="B303" s="1">
        <v>2021.0</v>
      </c>
      <c r="C303" s="1" t="s">
        <v>39</v>
      </c>
      <c r="D303" s="1">
        <v>149.2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</v>
      </c>
      <c r="O303" s="1">
        <v>173.3</v>
      </c>
      <c r="P303" s="1">
        <v>166.2</v>
      </c>
      <c r="Q303" s="1">
        <v>195.6</v>
      </c>
      <c r="R303" s="1">
        <v>157.3</v>
      </c>
      <c r="S303" s="1">
        <v>140.5</v>
      </c>
      <c r="T303" s="1">
        <v>154.8</v>
      </c>
      <c r="U303" s="1">
        <v>160.5</v>
      </c>
      <c r="V303" s="1">
        <v>156.1</v>
      </c>
      <c r="W303" s="1">
        <v>149.8</v>
      </c>
      <c r="X303" s="1">
        <v>160.8</v>
      </c>
      <c r="Y303" s="1">
        <v>147.5</v>
      </c>
      <c r="Z303" s="1">
        <v>150.7</v>
      </c>
      <c r="AA303" s="1">
        <v>158.1</v>
      </c>
      <c r="AB303" s="1">
        <v>158.0</v>
      </c>
      <c r="AC303" s="1">
        <v>153.4</v>
      </c>
      <c r="AD303" s="1">
        <v>160.4</v>
      </c>
    </row>
    <row r="304" ht="15.75" customHeight="1">
      <c r="A304" s="1" t="s">
        <v>34</v>
      </c>
      <c r="B304" s="1">
        <v>2021.0</v>
      </c>
      <c r="C304" s="1" t="s">
        <v>39</v>
      </c>
      <c r="D304" s="1">
        <v>146.7</v>
      </c>
      <c r="E304" s="1">
        <v>202.0</v>
      </c>
      <c r="F304" s="1">
        <v>180.7</v>
      </c>
      <c r="G304" s="1">
        <v>156.2</v>
      </c>
      <c r="H304" s="1">
        <v>183.7</v>
      </c>
      <c r="I304" s="1">
        <v>164.6</v>
      </c>
      <c r="J304" s="1">
        <v>155.4</v>
      </c>
      <c r="K304" s="1">
        <v>166.0</v>
      </c>
      <c r="L304" s="1">
        <v>115.1</v>
      </c>
      <c r="M304" s="1">
        <v>168.5</v>
      </c>
      <c r="N304" s="1">
        <v>160.0</v>
      </c>
      <c r="O304" s="1">
        <v>172.4</v>
      </c>
      <c r="P304" s="1">
        <v>162.6</v>
      </c>
      <c r="Q304" s="1">
        <v>190.8</v>
      </c>
      <c r="R304" s="1">
        <v>162.2</v>
      </c>
      <c r="S304" s="1">
        <v>151.8</v>
      </c>
      <c r="T304" s="1">
        <v>160.7</v>
      </c>
      <c r="U304" s="1">
        <v>160.5</v>
      </c>
      <c r="V304" s="1">
        <v>159.8</v>
      </c>
      <c r="W304" s="1">
        <v>154.8</v>
      </c>
      <c r="X304" s="1">
        <v>166.3</v>
      </c>
      <c r="Y304" s="1">
        <v>150.7</v>
      </c>
      <c r="Z304" s="1">
        <v>154.9</v>
      </c>
      <c r="AA304" s="1">
        <v>161.7</v>
      </c>
      <c r="AB304" s="1">
        <v>158.8</v>
      </c>
      <c r="AC304" s="1">
        <v>157.6</v>
      </c>
      <c r="AD304" s="1">
        <v>161.3</v>
      </c>
    </row>
    <row r="305" ht="15.75" customHeight="1">
      <c r="A305" s="1" t="s">
        <v>30</v>
      </c>
      <c r="B305" s="1">
        <v>2021.0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157.7</v>
      </c>
      <c r="J305" s="1">
        <v>152.8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171.0</v>
      </c>
      <c r="P305" s="1">
        <v>161.7</v>
      </c>
      <c r="Q305" s="1">
        <v>189.7</v>
      </c>
      <c r="R305" s="1">
        <v>166.0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</v>
      </c>
      <c r="X305" s="1">
        <v>170.4</v>
      </c>
      <c r="Y305" s="1">
        <v>157.1</v>
      </c>
      <c r="Z305" s="1">
        <v>160.7</v>
      </c>
      <c r="AA305" s="1">
        <v>167.2</v>
      </c>
      <c r="AB305" s="1">
        <v>160.4</v>
      </c>
      <c r="AC305" s="1">
        <v>162.8</v>
      </c>
      <c r="AD305" s="1">
        <v>163.2</v>
      </c>
    </row>
    <row r="306" ht="15.75" customHeight="1">
      <c r="A306" s="1" t="s">
        <v>33</v>
      </c>
      <c r="B306" s="1">
        <v>2021.0</v>
      </c>
      <c r="C306" s="1" t="s">
        <v>40</v>
      </c>
      <c r="D306" s="1">
        <v>149.1</v>
      </c>
      <c r="E306" s="1">
        <v>210.9</v>
      </c>
      <c r="F306" s="1">
        <v>185.0</v>
      </c>
      <c r="G306" s="1">
        <v>158.2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157.7</v>
      </c>
      <c r="W306" s="1">
        <v>150.7</v>
      </c>
      <c r="X306" s="1">
        <v>161.5</v>
      </c>
      <c r="Y306" s="1">
        <v>149.5</v>
      </c>
      <c r="Z306" s="1">
        <v>151.2</v>
      </c>
      <c r="AA306" s="1">
        <v>160.3</v>
      </c>
      <c r="AB306" s="1">
        <v>159.6</v>
      </c>
      <c r="AC306" s="1">
        <v>155.0</v>
      </c>
      <c r="AD306" s="1">
        <v>161.8</v>
      </c>
    </row>
    <row r="307" ht="15.75" customHeight="1">
      <c r="A307" s="1" t="s">
        <v>34</v>
      </c>
      <c r="B307" s="1">
        <v>2021.0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164.0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164.0</v>
      </c>
      <c r="Q307" s="1">
        <v>191.2</v>
      </c>
      <c r="R307" s="1">
        <v>162.8</v>
      </c>
      <c r="S307" s="1">
        <v>153.1</v>
      </c>
      <c r="T307" s="1">
        <v>161.4</v>
      </c>
      <c r="U307" s="1">
        <v>161.5</v>
      </c>
      <c r="V307" s="1">
        <v>160.7</v>
      </c>
      <c r="W307" s="1">
        <v>155.8</v>
      </c>
      <c r="X307" s="1">
        <v>167.0</v>
      </c>
      <c r="Y307" s="1">
        <v>153.1</v>
      </c>
      <c r="Z307" s="1">
        <v>155.3</v>
      </c>
      <c r="AA307" s="1">
        <v>163.2</v>
      </c>
      <c r="AB307" s="1">
        <v>160.1</v>
      </c>
      <c r="AC307" s="1">
        <v>159.0</v>
      </c>
      <c r="AD307" s="1">
        <v>162.5</v>
      </c>
    </row>
    <row r="308" ht="15.75" customHeight="1">
      <c r="A308" s="1" t="s">
        <v>30</v>
      </c>
      <c r="B308" s="1">
        <v>2021.0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155.7</v>
      </c>
      <c r="J308" s="1">
        <v>153.9</v>
      </c>
      <c r="K308" s="1">
        <v>162.8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</v>
      </c>
      <c r="Q308" s="1">
        <v>190.2</v>
      </c>
      <c r="R308" s="1">
        <v>167.0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157.7</v>
      </c>
      <c r="Z308" s="1">
        <v>161.1</v>
      </c>
      <c r="AA308" s="1">
        <v>167.5</v>
      </c>
      <c r="AB308" s="1">
        <v>160.3</v>
      </c>
      <c r="AC308" s="1">
        <v>163.3</v>
      </c>
      <c r="AD308" s="1">
        <v>163.6</v>
      </c>
    </row>
    <row r="309" ht="15.75" customHeight="1">
      <c r="A309" s="1" t="s">
        <v>33</v>
      </c>
      <c r="B309" s="1">
        <v>2021.0</v>
      </c>
      <c r="C309" s="1" t="s">
        <v>41</v>
      </c>
      <c r="D309" s="1">
        <v>149.3</v>
      </c>
      <c r="E309" s="1">
        <v>207.4</v>
      </c>
      <c r="F309" s="1">
        <v>174.1</v>
      </c>
      <c r="G309" s="1">
        <v>159.2</v>
      </c>
      <c r="H309" s="1">
        <v>175.0</v>
      </c>
      <c r="I309" s="1">
        <v>161.3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</v>
      </c>
      <c r="O309" s="1">
        <v>175.1</v>
      </c>
      <c r="P309" s="1">
        <v>167.3</v>
      </c>
      <c r="Q309" s="1">
        <v>196.5</v>
      </c>
      <c r="R309" s="1">
        <v>159.8</v>
      </c>
      <c r="S309" s="1">
        <v>143.6</v>
      </c>
      <c r="T309" s="1">
        <v>157.3</v>
      </c>
      <c r="U309" s="1">
        <v>162.1</v>
      </c>
      <c r="V309" s="1">
        <v>160.7</v>
      </c>
      <c r="W309" s="1">
        <v>153.2</v>
      </c>
      <c r="X309" s="1">
        <v>162.8</v>
      </c>
      <c r="Y309" s="1">
        <v>150.4</v>
      </c>
      <c r="Z309" s="1">
        <v>153.7</v>
      </c>
      <c r="AA309" s="1">
        <v>160.4</v>
      </c>
      <c r="AB309" s="1">
        <v>159.6</v>
      </c>
      <c r="AC309" s="1">
        <v>156.0</v>
      </c>
      <c r="AD309" s="1">
        <v>162.3</v>
      </c>
    </row>
    <row r="310" ht="15.75" customHeight="1">
      <c r="A310" s="1" t="s">
        <v>34</v>
      </c>
      <c r="B310" s="1">
        <v>2021.0</v>
      </c>
      <c r="C310" s="1" t="s">
        <v>41</v>
      </c>
      <c r="D310" s="1">
        <v>146.6</v>
      </c>
      <c r="E310" s="1">
        <v>204.0</v>
      </c>
      <c r="F310" s="1">
        <v>172.8</v>
      </c>
      <c r="G310" s="1">
        <v>158.4</v>
      </c>
      <c r="H310" s="1">
        <v>188.0</v>
      </c>
      <c r="I310" s="1">
        <v>156.8</v>
      </c>
      <c r="J310" s="1">
        <v>162.2</v>
      </c>
      <c r="K310" s="1">
        <v>164.1</v>
      </c>
      <c r="L310" s="1">
        <v>119.7</v>
      </c>
      <c r="M310" s="1">
        <v>168.8</v>
      </c>
      <c r="N310" s="1">
        <v>162.7</v>
      </c>
      <c r="O310" s="1">
        <v>173.9</v>
      </c>
      <c r="P310" s="1">
        <v>164.0</v>
      </c>
      <c r="Q310" s="1">
        <v>192.1</v>
      </c>
      <c r="R310" s="1">
        <v>164.5</v>
      </c>
      <c r="S310" s="1">
        <v>155.3</v>
      </c>
      <c r="T310" s="1">
        <v>163.2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154.0</v>
      </c>
      <c r="Z310" s="1">
        <v>157.6</v>
      </c>
      <c r="AA310" s="1">
        <v>163.8</v>
      </c>
      <c r="AB310" s="1">
        <v>160.0</v>
      </c>
      <c r="AC310" s="1">
        <v>160.0</v>
      </c>
      <c r="AD310" s="1">
        <v>163.2</v>
      </c>
    </row>
    <row r="311" ht="15.75" customHeight="1">
      <c r="A311" s="1" t="s">
        <v>30</v>
      </c>
      <c r="B311" s="1">
        <v>2021.0</v>
      </c>
      <c r="C311" s="1" t="s">
        <v>42</v>
      </c>
      <c r="D311" s="1">
        <v>145.4</v>
      </c>
      <c r="E311" s="1">
        <v>202.1</v>
      </c>
      <c r="F311" s="1">
        <v>172.0</v>
      </c>
      <c r="G311" s="1">
        <v>158.0</v>
      </c>
      <c r="H311" s="1">
        <v>195.5</v>
      </c>
      <c r="I311" s="1">
        <v>152.7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163.7</v>
      </c>
      <c r="W311" s="1">
        <v>161.3</v>
      </c>
      <c r="X311" s="1">
        <v>171.9</v>
      </c>
      <c r="Y311" s="1">
        <v>157.8</v>
      </c>
      <c r="Z311" s="1">
        <v>162.7</v>
      </c>
      <c r="AA311" s="1">
        <v>168.5</v>
      </c>
      <c r="AB311" s="1">
        <v>160.2</v>
      </c>
      <c r="AC311" s="1">
        <v>163.8</v>
      </c>
      <c r="AD311" s="1">
        <v>164.0</v>
      </c>
    </row>
    <row r="312" ht="15.75" customHeight="1">
      <c r="A312" s="1" t="s">
        <v>33</v>
      </c>
      <c r="B312" s="1">
        <v>2021.0</v>
      </c>
      <c r="C312" s="1" t="s">
        <v>42</v>
      </c>
      <c r="D312" s="1">
        <v>149.3</v>
      </c>
      <c r="E312" s="1">
        <v>207.4</v>
      </c>
      <c r="F312" s="1">
        <v>174.1</v>
      </c>
      <c r="G312" s="1">
        <v>159.1</v>
      </c>
      <c r="H312" s="1">
        <v>175.0</v>
      </c>
      <c r="I312" s="1">
        <v>161.2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</v>
      </c>
      <c r="O312" s="1">
        <v>175.1</v>
      </c>
      <c r="P312" s="1">
        <v>167.3</v>
      </c>
      <c r="Q312" s="1">
        <v>196.5</v>
      </c>
      <c r="R312" s="1">
        <v>159.8</v>
      </c>
      <c r="S312" s="1">
        <v>143.6</v>
      </c>
      <c r="T312" s="1">
        <v>157.4</v>
      </c>
      <c r="U312" s="1">
        <v>162.1</v>
      </c>
      <c r="V312" s="1">
        <v>160.8</v>
      </c>
      <c r="W312" s="1">
        <v>153.3</v>
      </c>
      <c r="X312" s="1">
        <v>162.8</v>
      </c>
      <c r="Y312" s="1">
        <v>150.5</v>
      </c>
      <c r="Z312" s="1">
        <v>153.9</v>
      </c>
      <c r="AA312" s="1">
        <v>160.3</v>
      </c>
      <c r="AB312" s="1">
        <v>159.6</v>
      </c>
      <c r="AC312" s="1">
        <v>156.0</v>
      </c>
      <c r="AD312" s="1">
        <v>162.3</v>
      </c>
    </row>
    <row r="313" ht="15.75" customHeight="1">
      <c r="A313" s="1" t="s">
        <v>34</v>
      </c>
      <c r="B313" s="1">
        <v>2021.0</v>
      </c>
      <c r="C313" s="1" t="s">
        <v>42</v>
      </c>
      <c r="D313" s="1">
        <v>146.6</v>
      </c>
      <c r="E313" s="1">
        <v>204.0</v>
      </c>
      <c r="F313" s="1">
        <v>172.8</v>
      </c>
      <c r="G313" s="1">
        <v>158.4</v>
      </c>
      <c r="H313" s="1">
        <v>188.0</v>
      </c>
      <c r="I313" s="1">
        <v>156.7</v>
      </c>
      <c r="J313" s="1">
        <v>162.3</v>
      </c>
      <c r="K313" s="1">
        <v>164.1</v>
      </c>
      <c r="L313" s="1">
        <v>119.7</v>
      </c>
      <c r="M313" s="1">
        <v>168.8</v>
      </c>
      <c r="N313" s="1">
        <v>162.7</v>
      </c>
      <c r="O313" s="1">
        <v>173.9</v>
      </c>
      <c r="P313" s="1">
        <v>164.0</v>
      </c>
      <c r="Q313" s="1">
        <v>192.1</v>
      </c>
      <c r="R313" s="1">
        <v>164.6</v>
      </c>
      <c r="S313" s="1">
        <v>155.3</v>
      </c>
      <c r="T313" s="1">
        <v>163.3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154.0</v>
      </c>
      <c r="Z313" s="1">
        <v>157.7</v>
      </c>
      <c r="AA313" s="1">
        <v>163.7</v>
      </c>
      <c r="AB313" s="1">
        <v>160.0</v>
      </c>
      <c r="AC313" s="1">
        <v>160.0</v>
      </c>
      <c r="AD313" s="1">
        <v>163.2</v>
      </c>
    </row>
    <row r="314" ht="15.75" customHeight="1">
      <c r="A314" s="1" t="s">
        <v>30</v>
      </c>
      <c r="B314" s="1">
        <v>2021.0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162.0</v>
      </c>
      <c r="X314" s="1">
        <v>172.5</v>
      </c>
      <c r="Y314" s="1">
        <v>159.5</v>
      </c>
      <c r="Z314" s="1">
        <v>163.2</v>
      </c>
      <c r="AA314" s="1">
        <v>169.0</v>
      </c>
      <c r="AB314" s="1">
        <v>161.1</v>
      </c>
      <c r="AC314" s="1">
        <v>164.7</v>
      </c>
      <c r="AD314" s="1">
        <v>166.3</v>
      </c>
    </row>
    <row r="315" ht="15.75" customHeight="1">
      <c r="A315" s="1" t="s">
        <v>33</v>
      </c>
      <c r="B315" s="1">
        <v>2021.0</v>
      </c>
      <c r="C315" s="1" t="s">
        <v>43</v>
      </c>
      <c r="D315" s="1">
        <v>150.1</v>
      </c>
      <c r="E315" s="1">
        <v>208.4</v>
      </c>
      <c r="F315" s="1">
        <v>173.0</v>
      </c>
      <c r="G315" s="1">
        <v>159.2</v>
      </c>
      <c r="H315" s="1">
        <v>176.6</v>
      </c>
      <c r="I315" s="1">
        <v>159.3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197.0</v>
      </c>
      <c r="R315" s="1">
        <v>160.8</v>
      </c>
      <c r="S315" s="1">
        <v>144.4</v>
      </c>
      <c r="T315" s="1">
        <v>158.3</v>
      </c>
      <c r="U315" s="1">
        <v>163.6</v>
      </c>
      <c r="V315" s="1">
        <v>162.2</v>
      </c>
      <c r="W315" s="1">
        <v>154.3</v>
      </c>
      <c r="X315" s="1">
        <v>163.5</v>
      </c>
      <c r="Y315" s="1">
        <v>152.2</v>
      </c>
      <c r="Z315" s="1">
        <v>155.1</v>
      </c>
      <c r="AA315" s="1">
        <v>160.3</v>
      </c>
      <c r="AB315" s="1">
        <v>160.3</v>
      </c>
      <c r="AC315" s="1">
        <v>157.0</v>
      </c>
      <c r="AD315" s="1">
        <v>164.6</v>
      </c>
    </row>
    <row r="316" ht="15.75" customHeight="1">
      <c r="A316" s="1" t="s">
        <v>34</v>
      </c>
      <c r="B316" s="1">
        <v>2021.0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158.7</v>
      </c>
      <c r="H316" s="1">
        <v>190.6</v>
      </c>
      <c r="I316" s="1">
        <v>155.7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163.2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155.7</v>
      </c>
      <c r="Z316" s="1">
        <v>158.6</v>
      </c>
      <c r="AA316" s="1">
        <v>163.9</v>
      </c>
      <c r="AB316" s="1">
        <v>160.8</v>
      </c>
      <c r="AC316" s="1">
        <v>161.0</v>
      </c>
      <c r="AD316" s="1">
        <v>165.5</v>
      </c>
    </row>
    <row r="317" ht="15.75" customHeight="1">
      <c r="A317" s="1" t="s">
        <v>30</v>
      </c>
      <c r="B317" s="1">
        <v>2021.0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153.2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166.0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</v>
      </c>
      <c r="AA317" s="1">
        <v>169.3</v>
      </c>
      <c r="AB317" s="1">
        <v>162.4</v>
      </c>
      <c r="AC317" s="1">
        <v>165.2</v>
      </c>
      <c r="AD317" s="1">
        <v>167.6</v>
      </c>
    </row>
    <row r="318" ht="15.75" customHeight="1">
      <c r="A318" s="1" t="s">
        <v>33</v>
      </c>
      <c r="B318" s="1">
        <v>2021.0</v>
      </c>
      <c r="C318" s="1" t="s">
        <v>45</v>
      </c>
      <c r="D318" s="1">
        <v>151.0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197.0</v>
      </c>
      <c r="R318" s="1">
        <v>162.3</v>
      </c>
      <c r="S318" s="1">
        <v>145.3</v>
      </c>
      <c r="T318" s="1">
        <v>159.7</v>
      </c>
      <c r="U318" s="1">
        <v>164.2</v>
      </c>
      <c r="V318" s="1">
        <v>161.6</v>
      </c>
      <c r="W318" s="1">
        <v>155.2</v>
      </c>
      <c r="X318" s="1">
        <v>164.2</v>
      </c>
      <c r="Y318" s="1">
        <v>151.2</v>
      </c>
      <c r="Z318" s="1">
        <v>156.7</v>
      </c>
      <c r="AA318" s="1">
        <v>160.8</v>
      </c>
      <c r="AB318" s="1">
        <v>161.8</v>
      </c>
      <c r="AC318" s="1">
        <v>157.3</v>
      </c>
      <c r="AD318" s="1">
        <v>165.6</v>
      </c>
    </row>
    <row r="319" ht="15.75" customHeight="1">
      <c r="A319" s="1" t="s">
        <v>34</v>
      </c>
      <c r="B319" s="1">
        <v>2021.0</v>
      </c>
      <c r="C319" s="1" t="s">
        <v>45</v>
      </c>
      <c r="D319" s="1">
        <v>148.2</v>
      </c>
      <c r="E319" s="1">
        <v>201.6</v>
      </c>
      <c r="F319" s="1">
        <v>173.0</v>
      </c>
      <c r="G319" s="1">
        <v>159.3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163.7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</v>
      </c>
      <c r="X319" s="1">
        <v>169.9</v>
      </c>
      <c r="Y319" s="1">
        <v>154.8</v>
      </c>
      <c r="Z319" s="1">
        <v>159.8</v>
      </c>
      <c r="AA319" s="1">
        <v>164.3</v>
      </c>
      <c r="AB319" s="1">
        <v>162.2</v>
      </c>
      <c r="AC319" s="1">
        <v>161.4</v>
      </c>
      <c r="AD319" s="1">
        <v>166.7</v>
      </c>
    </row>
    <row r="320" ht="15.75" customHeight="1">
      <c r="A320" s="1" t="s">
        <v>30</v>
      </c>
      <c r="B320" s="1">
        <v>2021.0</v>
      </c>
      <c r="C320" s="1" t="s">
        <v>46</v>
      </c>
      <c r="D320" s="1">
        <v>147.4</v>
      </c>
      <c r="E320" s="1">
        <v>197.0</v>
      </c>
      <c r="F320" s="1">
        <v>176.5</v>
      </c>
      <c r="G320" s="1">
        <v>159.8</v>
      </c>
      <c r="H320" s="1">
        <v>195.8</v>
      </c>
      <c r="I320" s="1">
        <v>152.0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174.0</v>
      </c>
      <c r="Y320" s="1">
        <v>160.1</v>
      </c>
      <c r="Z320" s="1">
        <v>164.5</v>
      </c>
      <c r="AA320" s="1">
        <v>169.7</v>
      </c>
      <c r="AB320" s="1">
        <v>162.8</v>
      </c>
      <c r="AC320" s="1">
        <v>166.0</v>
      </c>
      <c r="AD320" s="1">
        <v>167.0</v>
      </c>
    </row>
    <row r="321" ht="15.75" customHeight="1">
      <c r="A321" s="1" t="s">
        <v>33</v>
      </c>
      <c r="B321" s="1">
        <v>2021.0</v>
      </c>
      <c r="C321" s="1" t="s">
        <v>46</v>
      </c>
      <c r="D321" s="1">
        <v>151.6</v>
      </c>
      <c r="E321" s="1">
        <v>202.2</v>
      </c>
      <c r="F321" s="1">
        <v>180.0</v>
      </c>
      <c r="G321" s="1">
        <v>160.0</v>
      </c>
      <c r="H321" s="1">
        <v>173.5</v>
      </c>
      <c r="I321" s="1">
        <v>158.3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</v>
      </c>
      <c r="S321" s="1">
        <v>146.7</v>
      </c>
      <c r="T321" s="1">
        <v>160.7</v>
      </c>
      <c r="U321" s="1">
        <v>163.4</v>
      </c>
      <c r="V321" s="1">
        <v>161.7</v>
      </c>
      <c r="W321" s="1">
        <v>156.0</v>
      </c>
      <c r="X321" s="1">
        <v>165.1</v>
      </c>
      <c r="Y321" s="1">
        <v>151.8</v>
      </c>
      <c r="Z321" s="1">
        <v>157.6</v>
      </c>
      <c r="AA321" s="1">
        <v>160.6</v>
      </c>
      <c r="AB321" s="1">
        <v>162.4</v>
      </c>
      <c r="AC321" s="1">
        <v>157.8</v>
      </c>
      <c r="AD321" s="1">
        <v>165.2</v>
      </c>
    </row>
    <row r="322" ht="15.75" customHeight="1">
      <c r="A322" s="1" t="s">
        <v>34</v>
      </c>
      <c r="B322" s="1">
        <v>2021.0</v>
      </c>
      <c r="C322" s="1" t="s">
        <v>46</v>
      </c>
      <c r="D322" s="1">
        <v>148.7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121.0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158.7</v>
      </c>
      <c r="T322" s="1">
        <v>167.0</v>
      </c>
      <c r="U322" s="1">
        <v>163.4</v>
      </c>
      <c r="V322" s="1">
        <v>164.1</v>
      </c>
      <c r="W322" s="1">
        <v>160.2</v>
      </c>
      <c r="X322" s="1">
        <v>170.6</v>
      </c>
      <c r="Y322" s="1">
        <v>155.7</v>
      </c>
      <c r="Z322" s="1">
        <v>160.6</v>
      </c>
      <c r="AA322" s="1">
        <v>164.4</v>
      </c>
      <c r="AB322" s="1">
        <v>162.6</v>
      </c>
      <c r="AC322" s="1">
        <v>162.0</v>
      </c>
      <c r="AD322" s="1">
        <v>166.2</v>
      </c>
    </row>
    <row r="323" ht="15.75" customHeight="1">
      <c r="A323" s="1" t="s">
        <v>30</v>
      </c>
      <c r="B323" s="1">
        <v>2022.0</v>
      </c>
      <c r="C323" s="1" t="s">
        <v>31</v>
      </c>
      <c r="D323" s="1">
        <v>148.3</v>
      </c>
      <c r="E323" s="1">
        <v>196.9</v>
      </c>
      <c r="F323" s="1">
        <v>178.0</v>
      </c>
      <c r="G323" s="1">
        <v>160.5</v>
      </c>
      <c r="H323" s="1">
        <v>192.6</v>
      </c>
      <c r="I323" s="1">
        <v>151.2</v>
      </c>
      <c r="J323" s="1">
        <v>159.2</v>
      </c>
      <c r="K323" s="1">
        <v>164.0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</v>
      </c>
      <c r="Z323" s="1">
        <v>164.9</v>
      </c>
      <c r="AA323" s="1">
        <v>169.9</v>
      </c>
      <c r="AB323" s="1">
        <v>163.2</v>
      </c>
      <c r="AC323" s="1">
        <v>166.6</v>
      </c>
      <c r="AD323" s="1">
        <v>166.4</v>
      </c>
    </row>
    <row r="324" ht="15.75" customHeight="1">
      <c r="A324" s="1" t="s">
        <v>33</v>
      </c>
      <c r="B324" s="1">
        <v>2022.0</v>
      </c>
      <c r="C324" s="1" t="s">
        <v>31</v>
      </c>
      <c r="D324" s="1">
        <v>152.2</v>
      </c>
      <c r="E324" s="1">
        <v>202.1</v>
      </c>
      <c r="F324" s="1">
        <v>180.1</v>
      </c>
      <c r="G324" s="1">
        <v>160.4</v>
      </c>
      <c r="H324" s="1">
        <v>171.0</v>
      </c>
      <c r="I324" s="1">
        <v>156.5</v>
      </c>
      <c r="J324" s="1">
        <v>203.6</v>
      </c>
      <c r="K324" s="1">
        <v>163.8</v>
      </c>
      <c r="L324" s="1">
        <v>121.3</v>
      </c>
      <c r="M324" s="1">
        <v>169.8</v>
      </c>
      <c r="N324" s="1">
        <v>156.6</v>
      </c>
      <c r="O324" s="1">
        <v>179.0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162.2</v>
      </c>
      <c r="U324" s="1">
        <v>164.5</v>
      </c>
      <c r="V324" s="1">
        <v>161.6</v>
      </c>
      <c r="W324" s="1">
        <v>156.8</v>
      </c>
      <c r="X324" s="1">
        <v>166.1</v>
      </c>
      <c r="Y324" s="1">
        <v>152.7</v>
      </c>
      <c r="Z324" s="1">
        <v>158.4</v>
      </c>
      <c r="AA324" s="1">
        <v>161.0</v>
      </c>
      <c r="AB324" s="1">
        <v>162.8</v>
      </c>
      <c r="AC324" s="1">
        <v>158.6</v>
      </c>
      <c r="AD324" s="1">
        <v>165.0</v>
      </c>
    </row>
    <row r="325" ht="15.75" customHeight="1">
      <c r="A325" s="1" t="s">
        <v>34</v>
      </c>
      <c r="B325" s="1">
        <v>2022.0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153.7</v>
      </c>
      <c r="J325" s="1">
        <v>174.3</v>
      </c>
      <c r="K325" s="1">
        <v>163.9</v>
      </c>
      <c r="L325" s="1">
        <v>120.0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160.7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161.2</v>
      </c>
      <c r="AA325" s="1">
        <v>164.7</v>
      </c>
      <c r="AB325" s="1">
        <v>163.0</v>
      </c>
      <c r="AC325" s="1">
        <v>162.7</v>
      </c>
      <c r="AD325" s="1">
        <v>165.7</v>
      </c>
    </row>
    <row r="326" ht="15.75" customHeight="1">
      <c r="A326" s="1" t="s">
        <v>30</v>
      </c>
      <c r="B326" s="1">
        <v>2022.0</v>
      </c>
      <c r="C326" s="1" t="s">
        <v>35</v>
      </c>
      <c r="D326" s="1">
        <v>148.8</v>
      </c>
      <c r="E326" s="1">
        <v>198.1</v>
      </c>
      <c r="F326" s="1">
        <v>175.5</v>
      </c>
      <c r="G326" s="1">
        <v>160.7</v>
      </c>
      <c r="H326" s="1">
        <v>192.6</v>
      </c>
      <c r="I326" s="1">
        <v>151.4</v>
      </c>
      <c r="J326" s="1">
        <v>155.2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171.0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161.2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ht="15.75" customHeight="1">
      <c r="A327" s="1" t="s">
        <v>33</v>
      </c>
      <c r="B327" s="1">
        <v>2022.0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198.0</v>
      </c>
      <c r="K327" s="1">
        <v>163.2</v>
      </c>
      <c r="L327" s="1">
        <v>120.6</v>
      </c>
      <c r="M327" s="1">
        <v>172.2</v>
      </c>
      <c r="N327" s="1">
        <v>156.7</v>
      </c>
      <c r="O327" s="1">
        <v>180.0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163.0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162.0</v>
      </c>
      <c r="AB327" s="1">
        <v>164.2</v>
      </c>
      <c r="AC327" s="1">
        <v>159.4</v>
      </c>
      <c r="AD327" s="1">
        <v>165.5</v>
      </c>
    </row>
    <row r="328" ht="15.75" customHeight="1">
      <c r="A328" s="1" t="s">
        <v>34</v>
      </c>
      <c r="B328" s="1">
        <v>2022.0</v>
      </c>
      <c r="C328" s="1" t="s">
        <v>35</v>
      </c>
      <c r="D328" s="1">
        <v>150.0</v>
      </c>
      <c r="E328" s="1">
        <v>200.6</v>
      </c>
      <c r="F328" s="1">
        <v>175.8</v>
      </c>
      <c r="G328" s="1">
        <v>160.7</v>
      </c>
      <c r="H328" s="1">
        <v>184.9</v>
      </c>
      <c r="I328" s="1">
        <v>153.7</v>
      </c>
      <c r="J328" s="1">
        <v>169.7</v>
      </c>
      <c r="K328" s="1">
        <v>163.7</v>
      </c>
      <c r="L328" s="1">
        <v>118.9</v>
      </c>
      <c r="M328" s="1">
        <v>174.3</v>
      </c>
      <c r="N328" s="1">
        <v>164.7</v>
      </c>
      <c r="O328" s="1">
        <v>178.0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ht="15.75" customHeight="1">
      <c r="A329" s="1" t="s">
        <v>30</v>
      </c>
      <c r="B329" s="1">
        <v>2022.0</v>
      </c>
      <c r="C329" s="1" t="s">
        <v>36</v>
      </c>
      <c r="D329" s="1">
        <v>150.2</v>
      </c>
      <c r="E329" s="1">
        <v>208.0</v>
      </c>
      <c r="F329" s="1">
        <v>167.9</v>
      </c>
      <c r="G329" s="1">
        <v>162.0</v>
      </c>
      <c r="H329" s="1">
        <v>203.1</v>
      </c>
      <c r="I329" s="1">
        <v>155.9</v>
      </c>
      <c r="J329" s="1">
        <v>155.8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176.0</v>
      </c>
      <c r="Y329" s="1">
        <v>162.0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ht="15.75" customHeight="1">
      <c r="A330" s="1" t="s">
        <v>33</v>
      </c>
      <c r="B330" s="1">
        <v>2022.0</v>
      </c>
      <c r="C330" s="1" t="s">
        <v>36</v>
      </c>
      <c r="D330" s="1">
        <v>153.7</v>
      </c>
      <c r="E330" s="1">
        <v>215.8</v>
      </c>
      <c r="F330" s="1">
        <v>167.7</v>
      </c>
      <c r="G330" s="1">
        <v>162.6</v>
      </c>
      <c r="H330" s="1">
        <v>180.0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154.2</v>
      </c>
      <c r="Z330" s="1">
        <v>160.8</v>
      </c>
      <c r="AA330" s="1">
        <v>162.7</v>
      </c>
      <c r="AB330" s="1">
        <v>166.8</v>
      </c>
      <c r="AC330" s="1">
        <v>160.6</v>
      </c>
      <c r="AD330" s="1">
        <v>166.5</v>
      </c>
    </row>
    <row r="331" ht="15.75" customHeight="1">
      <c r="A331" s="1" t="s">
        <v>34</v>
      </c>
      <c r="B331" s="1">
        <v>2022.0</v>
      </c>
      <c r="C331" s="1" t="s">
        <v>36</v>
      </c>
      <c r="D331" s="1">
        <v>151.3</v>
      </c>
      <c r="E331" s="1">
        <v>210.7</v>
      </c>
      <c r="F331" s="1">
        <v>167.8</v>
      </c>
      <c r="G331" s="1">
        <v>162.2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</v>
      </c>
      <c r="X331" s="1">
        <v>173.0</v>
      </c>
      <c r="Y331" s="1">
        <v>157.9</v>
      </c>
      <c r="Z331" s="1">
        <v>163.3</v>
      </c>
      <c r="AA331" s="1">
        <v>166.0</v>
      </c>
      <c r="AB331" s="1">
        <v>167.2</v>
      </c>
      <c r="AC331" s="1">
        <v>164.6</v>
      </c>
      <c r="AD331" s="1">
        <v>167.7</v>
      </c>
    </row>
    <row r="332" ht="15.75" customHeight="1">
      <c r="A332" s="1" t="s">
        <v>30</v>
      </c>
      <c r="B332" s="1">
        <v>2022.0</v>
      </c>
      <c r="C332" s="1" t="s">
        <v>37</v>
      </c>
      <c r="D332" s="1">
        <v>151.8</v>
      </c>
      <c r="E332" s="1">
        <v>209.7</v>
      </c>
      <c r="F332" s="1">
        <v>164.5</v>
      </c>
      <c r="G332" s="1">
        <v>163.8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177.0</v>
      </c>
      <c r="Y332" s="1">
        <v>166.2</v>
      </c>
      <c r="Z332" s="1">
        <v>167.2</v>
      </c>
      <c r="AA332" s="1">
        <v>170.9</v>
      </c>
      <c r="AB332" s="1">
        <v>169.0</v>
      </c>
      <c r="AC332" s="1">
        <v>170.2</v>
      </c>
      <c r="AD332" s="1">
        <v>170.8</v>
      </c>
    </row>
    <row r="333" ht="15.75" customHeight="1">
      <c r="A333" s="1" t="s">
        <v>33</v>
      </c>
      <c r="B333" s="1">
        <v>2022.0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186.0</v>
      </c>
      <c r="I333" s="1">
        <v>175.9</v>
      </c>
      <c r="J333" s="1">
        <v>190.7</v>
      </c>
      <c r="K333" s="1">
        <v>164.0</v>
      </c>
      <c r="L333" s="1">
        <v>120.5</v>
      </c>
      <c r="M333" s="1">
        <v>178.0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167.0</v>
      </c>
      <c r="V333" s="1">
        <v>170.5</v>
      </c>
      <c r="W333" s="1">
        <v>159.8</v>
      </c>
      <c r="X333" s="1">
        <v>169.0</v>
      </c>
      <c r="Y333" s="1">
        <v>159.3</v>
      </c>
      <c r="Z333" s="1">
        <v>162.2</v>
      </c>
      <c r="AA333" s="1">
        <v>164.0</v>
      </c>
      <c r="AB333" s="1">
        <v>168.4</v>
      </c>
      <c r="AC333" s="1">
        <v>163.1</v>
      </c>
      <c r="AD333" s="1">
        <v>169.2</v>
      </c>
    </row>
    <row r="334" ht="15.75" customHeight="1">
      <c r="A334" s="1" t="s">
        <v>34</v>
      </c>
      <c r="B334" s="1">
        <v>2022.0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119.0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167.0</v>
      </c>
      <c r="V334" s="1">
        <v>172.2</v>
      </c>
      <c r="W334" s="1">
        <v>164.0</v>
      </c>
      <c r="X334" s="1">
        <v>174.0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ht="15.75" customHeight="1">
      <c r="A335" s="1" t="s">
        <v>30</v>
      </c>
      <c r="B335" s="1">
        <v>2022.0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168.0</v>
      </c>
      <c r="J335" s="1">
        <v>160.4</v>
      </c>
      <c r="K335" s="1">
        <v>165.0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179.0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ht="15.75" customHeight="1">
      <c r="A336" s="1" t="s">
        <v>33</v>
      </c>
      <c r="B336" s="1">
        <v>2022.0</v>
      </c>
      <c r="C336" s="1" t="s">
        <v>38</v>
      </c>
      <c r="D336" s="1">
        <v>156.7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170.0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163.2</v>
      </c>
      <c r="AA336" s="1">
        <v>165.2</v>
      </c>
      <c r="AB336" s="1">
        <v>168.2</v>
      </c>
      <c r="AC336" s="1">
        <v>163.8</v>
      </c>
      <c r="AD336" s="1">
        <v>170.8</v>
      </c>
    </row>
    <row r="337" ht="15.75" customHeight="1">
      <c r="A337" s="1" t="s">
        <v>34</v>
      </c>
      <c r="B337" s="1">
        <v>2022.0</v>
      </c>
      <c r="C337" s="1" t="s">
        <v>38</v>
      </c>
      <c r="D337" s="1">
        <v>154.1</v>
      </c>
      <c r="E337" s="1">
        <v>217.0</v>
      </c>
      <c r="F337" s="1">
        <v>162.4</v>
      </c>
      <c r="G337" s="1">
        <v>164.9</v>
      </c>
      <c r="H337" s="1">
        <v>202.4</v>
      </c>
      <c r="I337" s="1">
        <v>171.0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163.0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ht="15.75" customHeight="1">
      <c r="A338" s="1" t="s">
        <v>30</v>
      </c>
      <c r="B338" s="1">
        <v>2022.0</v>
      </c>
      <c r="C338" s="1" t="s">
        <v>39</v>
      </c>
      <c r="D338" s="1">
        <v>153.8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168.0</v>
      </c>
      <c r="AA338" s="1">
        <v>172.6</v>
      </c>
      <c r="AB338" s="1">
        <v>169.5</v>
      </c>
      <c r="AC338" s="1">
        <v>171.0</v>
      </c>
      <c r="AD338" s="1">
        <v>173.6</v>
      </c>
    </row>
    <row r="339" ht="15.75" customHeight="1">
      <c r="A339" s="1" t="s">
        <v>33</v>
      </c>
      <c r="B339" s="1">
        <v>2022.0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157.2</v>
      </c>
      <c r="Z339" s="1">
        <v>164.1</v>
      </c>
      <c r="AA339" s="1">
        <v>166.5</v>
      </c>
      <c r="AB339" s="1">
        <v>169.2</v>
      </c>
      <c r="AC339" s="1">
        <v>163.8</v>
      </c>
      <c r="AD339" s="1">
        <v>171.4</v>
      </c>
    </row>
    <row r="340" ht="15.75" customHeight="1">
      <c r="A340" s="1" t="s">
        <v>34</v>
      </c>
      <c r="B340" s="1">
        <v>2022.0</v>
      </c>
      <c r="C340" s="1" t="s">
        <v>39</v>
      </c>
      <c r="D340" s="1">
        <v>155.0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176.0</v>
      </c>
      <c r="U340" s="1">
        <v>166.8</v>
      </c>
      <c r="V340" s="1">
        <v>176.0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169.0</v>
      </c>
      <c r="AB340" s="1">
        <v>169.4</v>
      </c>
      <c r="AC340" s="1">
        <v>167.5</v>
      </c>
      <c r="AD340" s="1">
        <v>172.6</v>
      </c>
    </row>
    <row r="341" ht="15.75" customHeight="1">
      <c r="A341" s="1" t="s">
        <v>30</v>
      </c>
      <c r="B341" s="1">
        <v>2022.0</v>
      </c>
      <c r="C341" s="1" t="s">
        <v>40</v>
      </c>
      <c r="D341" s="1">
        <v>155.2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182.0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ht="15.75" customHeight="1">
      <c r="A342" s="1" t="s">
        <v>33</v>
      </c>
      <c r="B342" s="1">
        <v>2022.0</v>
      </c>
      <c r="C342" s="1" t="s">
        <v>40</v>
      </c>
      <c r="D342" s="1">
        <v>159.3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164.0</v>
      </c>
      <c r="L342" s="1">
        <v>121.5</v>
      </c>
      <c r="M342" s="1">
        <v>186.3</v>
      </c>
      <c r="N342" s="1">
        <v>159.8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158.7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ht="15.75" customHeight="1">
      <c r="A343" s="1" t="s">
        <v>34</v>
      </c>
      <c r="B343" s="1">
        <v>2022.0</v>
      </c>
      <c r="C343" s="1" t="s">
        <v>40</v>
      </c>
      <c r="D343" s="1">
        <v>156.5</v>
      </c>
      <c r="E343" s="1">
        <v>213.0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120.0</v>
      </c>
      <c r="M343" s="1">
        <v>190.0</v>
      </c>
      <c r="N343" s="1">
        <v>168.4</v>
      </c>
      <c r="O343" s="1">
        <v>185.2</v>
      </c>
      <c r="P343" s="1">
        <v>175.0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ht="15.75" customHeight="1">
      <c r="A344" s="1" t="s">
        <v>30</v>
      </c>
      <c r="B344" s="1">
        <v>2022.0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184.0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183.0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ht="15.75" customHeight="1">
      <c r="A345" s="1" t="s">
        <v>33</v>
      </c>
      <c r="B345" s="1">
        <v>2022.0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160.0</v>
      </c>
      <c r="T345" s="1">
        <v>171.6</v>
      </c>
      <c r="U345" s="1">
        <v>169.0</v>
      </c>
      <c r="V345" s="1">
        <v>178.4</v>
      </c>
      <c r="W345" s="1">
        <v>164.2</v>
      </c>
      <c r="X345" s="1">
        <v>172.6</v>
      </c>
      <c r="Y345" s="1">
        <v>157.7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ht="15.75" customHeight="1">
      <c r="A346" s="1" t="s">
        <v>34</v>
      </c>
      <c r="B346" s="1">
        <v>2022.0</v>
      </c>
      <c r="C346" s="1" t="s">
        <v>41</v>
      </c>
      <c r="D346" s="1">
        <v>160.3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195.0</v>
      </c>
      <c r="R346" s="1">
        <v>179.5</v>
      </c>
      <c r="S346" s="1">
        <v>172.7</v>
      </c>
      <c r="T346" s="1">
        <v>178.5</v>
      </c>
      <c r="U346" s="1">
        <v>169.0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ht="15.75" customHeight="1">
      <c r="A347" s="1" t="s">
        <v>30</v>
      </c>
      <c r="B347" s="1">
        <v>2022.0</v>
      </c>
      <c r="C347" s="1" t="s">
        <v>42</v>
      </c>
      <c r="D347" s="1">
        <v>162.9</v>
      </c>
      <c r="E347" s="1">
        <v>206.7</v>
      </c>
      <c r="F347" s="1">
        <v>169.0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169.0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170.0</v>
      </c>
      <c r="AA347" s="1">
        <v>176.2</v>
      </c>
      <c r="AB347" s="1">
        <v>170.8</v>
      </c>
      <c r="AC347" s="1">
        <v>173.1</v>
      </c>
      <c r="AD347" s="1">
        <v>176.4</v>
      </c>
    </row>
    <row r="348" ht="15.75" customHeight="1">
      <c r="A348" s="1" t="s">
        <v>33</v>
      </c>
      <c r="B348" s="1">
        <v>2022.0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175.0</v>
      </c>
      <c r="S348" s="1">
        <v>161.7</v>
      </c>
      <c r="T348" s="1">
        <v>173.0</v>
      </c>
      <c r="U348" s="1">
        <v>169.5</v>
      </c>
      <c r="V348" s="1">
        <v>179.2</v>
      </c>
      <c r="W348" s="1">
        <v>165.0</v>
      </c>
      <c r="X348" s="1">
        <v>173.8</v>
      </c>
      <c r="Y348" s="1">
        <v>158.2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ht="15.75" customHeight="1">
      <c r="A349" s="1" t="s">
        <v>34</v>
      </c>
      <c r="B349" s="1">
        <v>2022.0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ht="15.75" customHeight="1">
      <c r="A350" s="1" t="s">
        <v>30</v>
      </c>
      <c r="B350" s="1">
        <v>2022.0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162.2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172.0</v>
      </c>
      <c r="AC350" s="1">
        <v>173.9</v>
      </c>
      <c r="AD350" s="1">
        <v>177.9</v>
      </c>
    </row>
    <row r="351" ht="15.75" customHeight="1">
      <c r="A351" s="1" t="s">
        <v>33</v>
      </c>
      <c r="B351" s="1">
        <v>2022.0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171.0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180.0</v>
      </c>
      <c r="W351" s="1">
        <v>166.0</v>
      </c>
      <c r="X351" s="1">
        <v>174.7</v>
      </c>
      <c r="Y351" s="1">
        <v>158.8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ht="15.75" customHeight="1">
      <c r="A352" s="1" t="s">
        <v>34</v>
      </c>
      <c r="B352" s="1">
        <v>2022.0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181.0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ht="15.75" customHeight="1">
      <c r="A353" s="1" t="s">
        <v>30</v>
      </c>
      <c r="B353" s="1">
        <v>2022.0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194.0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ht="15.75" customHeight="1">
      <c r="A354" s="1" t="s">
        <v>33</v>
      </c>
      <c r="B354" s="1">
        <v>2022.0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180.0</v>
      </c>
      <c r="I354" s="1">
        <v>162.6</v>
      </c>
      <c r="J354" s="1">
        <v>205.5</v>
      </c>
      <c r="K354" s="1">
        <v>171.0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ht="15.75" customHeight="1">
      <c r="A355" s="1" t="s">
        <v>34</v>
      </c>
      <c r="B355" s="1">
        <v>2022.0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160.7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163.0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ht="15.75" customHeight="1">
      <c r="A356" s="1" t="s">
        <v>30</v>
      </c>
      <c r="B356" s="1">
        <v>2022.0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156.7</v>
      </c>
      <c r="J356" s="1">
        <v>150.2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ht="15.75" customHeight="1">
      <c r="A357" s="1" t="s">
        <v>33</v>
      </c>
      <c r="B357" s="1">
        <v>2022.0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176.0</v>
      </c>
      <c r="AC357" s="1">
        <v>168.2</v>
      </c>
      <c r="AD357" s="1">
        <v>174.1</v>
      </c>
    </row>
    <row r="358" ht="15.75" customHeight="1">
      <c r="A358" s="1" t="s">
        <v>34</v>
      </c>
      <c r="B358" s="1">
        <v>2022.0</v>
      </c>
      <c r="C358" s="1" t="s">
        <v>46</v>
      </c>
      <c r="D358" s="1">
        <v>169.2</v>
      </c>
      <c r="E358" s="1">
        <v>209.0</v>
      </c>
      <c r="F358" s="1">
        <v>190.2</v>
      </c>
      <c r="G358" s="1">
        <v>173.6</v>
      </c>
      <c r="H358" s="1">
        <v>188.5</v>
      </c>
      <c r="I358" s="1">
        <v>158.0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171.0</v>
      </c>
      <c r="O358" s="1">
        <v>190.3</v>
      </c>
      <c r="P358" s="1">
        <v>175.9</v>
      </c>
      <c r="Q358" s="1">
        <v>197.3</v>
      </c>
      <c r="R358" s="1">
        <v>184.0</v>
      </c>
      <c r="S358" s="1">
        <v>177.0</v>
      </c>
      <c r="T358" s="1">
        <v>183.0</v>
      </c>
      <c r="U358" s="1">
        <v>170.7</v>
      </c>
      <c r="V358" s="1">
        <v>182.0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172.0</v>
      </c>
      <c r="AD358" s="1">
        <v>175.7</v>
      </c>
    </row>
    <row r="359" ht="15.75" customHeight="1">
      <c r="A359" s="1" t="s">
        <v>30</v>
      </c>
      <c r="B359" s="1">
        <v>2023.0</v>
      </c>
      <c r="C359" s="1" t="s">
        <v>31</v>
      </c>
      <c r="D359" s="1">
        <v>174.0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175.0</v>
      </c>
      <c r="Q359" s="1">
        <v>196.9</v>
      </c>
      <c r="R359" s="1">
        <v>189.0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ht="15.75" customHeight="1">
      <c r="A360" s="1" t="s">
        <v>33</v>
      </c>
      <c r="B360" s="1">
        <v>2023.0</v>
      </c>
      <c r="C360" s="1" t="s">
        <v>31</v>
      </c>
      <c r="D360" s="1">
        <v>173.3</v>
      </c>
      <c r="E360" s="1">
        <v>215.2</v>
      </c>
      <c r="F360" s="1">
        <v>197.0</v>
      </c>
      <c r="G360" s="1">
        <v>175.2</v>
      </c>
      <c r="H360" s="1">
        <v>178.0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163.7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168.0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ht="15.75" customHeight="1">
      <c r="A361" s="1" t="s">
        <v>34</v>
      </c>
      <c r="B361" s="1">
        <v>2023.0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182.0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ht="15.75" customHeight="1">
      <c r="A362" s="1" t="s">
        <v>30</v>
      </c>
      <c r="B362" s="1">
        <v>2023.0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177.0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190.0</v>
      </c>
      <c r="S362" s="1">
        <v>187.0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169.0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178.0</v>
      </c>
    </row>
    <row r="363" ht="15.75" customHeight="1">
      <c r="A363" s="1" t="s">
        <v>33</v>
      </c>
      <c r="B363" s="1">
        <v>2023.0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167.0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</v>
      </c>
      <c r="Z363" s="1">
        <v>168.4</v>
      </c>
      <c r="AA363" s="1">
        <v>172.5</v>
      </c>
      <c r="AB363" s="1">
        <v>181.4</v>
      </c>
      <c r="AC363" s="1">
        <v>170.0</v>
      </c>
      <c r="AD363" s="1">
        <v>176.3</v>
      </c>
    </row>
    <row r="364" ht="15.75" customHeight="1">
      <c r="A364" s="1" t="s">
        <v>34</v>
      </c>
      <c r="B364" s="1">
        <v>2023.0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152.7</v>
      </c>
      <c r="K364" s="1">
        <v>171.0</v>
      </c>
      <c r="L364" s="1">
        <v>120.0</v>
      </c>
      <c r="M364" s="1">
        <v>209.7</v>
      </c>
      <c r="N364" s="1">
        <v>172.3</v>
      </c>
      <c r="O364" s="1">
        <v>193.0</v>
      </c>
      <c r="P364" s="1">
        <v>177.0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175.0</v>
      </c>
      <c r="AB364" s="1">
        <v>181.0</v>
      </c>
      <c r="AC364" s="1">
        <v>174.1</v>
      </c>
      <c r="AD364" s="1">
        <v>177.2</v>
      </c>
    </row>
    <row r="365" ht="15.75" customHeight="1">
      <c r="A365" s="1" t="s">
        <v>30</v>
      </c>
      <c r="B365" s="1">
        <v>2023.0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177.0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190.0</v>
      </c>
      <c r="S365" s="1">
        <v>187.0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169.0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178.0</v>
      </c>
    </row>
    <row r="366" ht="15.75" customHeight="1">
      <c r="A366" s="1" t="s">
        <v>33</v>
      </c>
      <c r="B366" s="1">
        <v>2023.0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167.0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</v>
      </c>
      <c r="Z366" s="1">
        <v>168.4</v>
      </c>
      <c r="AA366" s="1">
        <v>172.5</v>
      </c>
      <c r="AB366" s="1">
        <v>181.5</v>
      </c>
      <c r="AC366" s="1">
        <v>170.0</v>
      </c>
      <c r="AD366" s="1">
        <v>176.3</v>
      </c>
    </row>
    <row r="367" ht="15.75" customHeight="1">
      <c r="A367" s="1" t="s">
        <v>34</v>
      </c>
      <c r="B367" s="1">
        <v>2023.0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</v>
      </c>
      <c r="K367" s="1">
        <v>171.1</v>
      </c>
      <c r="L367" s="1">
        <v>120.0</v>
      </c>
      <c r="M367" s="1">
        <v>209.7</v>
      </c>
      <c r="N367" s="1">
        <v>172.3</v>
      </c>
      <c r="O367" s="1">
        <v>193.0</v>
      </c>
      <c r="P367" s="1">
        <v>177.0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175.0</v>
      </c>
      <c r="AB367" s="1">
        <v>181.0</v>
      </c>
      <c r="AC367" s="1">
        <v>174.1</v>
      </c>
      <c r="AD367" s="1">
        <v>177.2</v>
      </c>
    </row>
    <row r="368" ht="15.75" customHeight="1">
      <c r="A368" s="1" t="s">
        <v>30</v>
      </c>
      <c r="B368" s="1">
        <v>2023.0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48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ht="15.75" customHeight="1">
      <c r="A369" s="1" t="s">
        <v>33</v>
      </c>
      <c r="B369" s="1">
        <v>2023.0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197.0</v>
      </c>
      <c r="P369" s="1">
        <v>182.1</v>
      </c>
      <c r="Q369" s="1">
        <v>203.5</v>
      </c>
      <c r="R369" s="1">
        <v>181.0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ht="15.75" customHeight="1">
      <c r="A370" s="1" t="s">
        <v>34</v>
      </c>
      <c r="B370" s="1">
        <v>2023.0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185.0</v>
      </c>
      <c r="Y370" s="1">
        <v>164.5</v>
      </c>
      <c r="Z370" s="1">
        <v>170.7</v>
      </c>
      <c r="AA370" s="1">
        <v>176.4</v>
      </c>
      <c r="AB370" s="1">
        <v>184.0</v>
      </c>
      <c r="AC370" s="1">
        <v>175.0</v>
      </c>
      <c r="AD370" s="1">
        <v>178.1</v>
      </c>
    </row>
    <row r="371" ht="15.75" customHeight="1">
      <c r="A371" s="1" t="s">
        <v>30</v>
      </c>
      <c r="B371" s="1">
        <v>2023.0</v>
      </c>
      <c r="C371" s="1" t="s">
        <v>38</v>
      </c>
      <c r="D371" s="1">
        <v>173.2</v>
      </c>
      <c r="E371" s="1">
        <v>211.5</v>
      </c>
      <c r="F371" s="1">
        <v>171.0</v>
      </c>
      <c r="G371" s="1">
        <v>179.6</v>
      </c>
      <c r="H371" s="1">
        <v>173.3</v>
      </c>
      <c r="I371" s="1">
        <v>169.0</v>
      </c>
      <c r="J371" s="1">
        <v>148.7</v>
      </c>
      <c r="K371" s="1">
        <v>174.9</v>
      </c>
      <c r="L371" s="1">
        <v>121.9</v>
      </c>
      <c r="M371" s="1">
        <v>221.0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48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ht="15.75" customHeight="1">
      <c r="A372" s="1" t="s">
        <v>33</v>
      </c>
      <c r="B372" s="1">
        <v>2023.0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185.0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ht="15.75" customHeight="1">
      <c r="A373" s="1" t="s">
        <v>34</v>
      </c>
      <c r="B373" s="1">
        <v>2023.0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170.0</v>
      </c>
      <c r="I373" s="1">
        <v>172.2</v>
      </c>
      <c r="J373" s="1">
        <v>161.0</v>
      </c>
      <c r="K373" s="1">
        <v>175.6</v>
      </c>
      <c r="L373" s="1">
        <v>122.7</v>
      </c>
      <c r="M373" s="1">
        <v>218.0</v>
      </c>
      <c r="N373" s="1">
        <v>173.4</v>
      </c>
      <c r="O373" s="1">
        <v>194.2</v>
      </c>
      <c r="P373" s="1">
        <v>179.1</v>
      </c>
      <c r="Q373" s="1">
        <v>201.0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6.0" topLeftCell="H17" activePane="bottomRight" state="frozen"/>
      <selection activeCell="H1" sqref="H1" pane="topRight"/>
      <selection activeCell="A17" sqref="A17" pane="bottomLeft"/>
      <selection activeCell="H17" sqref="H17" pane="bottomRight"/>
    </sheetView>
  </sheetViews>
  <sheetFormatPr customHeight="1" defaultColWidth="14.43" defaultRowHeight="15.0"/>
  <cols>
    <col customWidth="1" min="1" max="2" width="29.29"/>
    <col customWidth="1" min="3" max="4" width="8.71"/>
    <col customWidth="1" min="5" max="5" width="16.29"/>
    <col customWidth="1" min="6" max="6" width="12.43"/>
    <col customWidth="1" min="7" max="374" width="8.71"/>
  </cols>
  <sheetData>
    <row r="1">
      <c r="A1" s="2" t="s">
        <v>0</v>
      </c>
      <c r="B1" s="3" t="s">
        <v>49</v>
      </c>
      <c r="C1" s="2" t="s">
        <v>30</v>
      </c>
      <c r="D1" s="2" t="s">
        <v>33</v>
      </c>
      <c r="E1" s="2" t="s">
        <v>34</v>
      </c>
      <c r="F1" s="2" t="s">
        <v>30</v>
      </c>
      <c r="G1" s="2" t="s">
        <v>33</v>
      </c>
      <c r="H1" s="2" t="s">
        <v>34</v>
      </c>
      <c r="I1" s="2" t="s">
        <v>30</v>
      </c>
      <c r="J1" s="2" t="s">
        <v>33</v>
      </c>
      <c r="K1" s="2" t="s">
        <v>34</v>
      </c>
      <c r="L1" s="2" t="s">
        <v>30</v>
      </c>
      <c r="M1" s="2" t="s">
        <v>33</v>
      </c>
      <c r="N1" s="2" t="s">
        <v>34</v>
      </c>
      <c r="O1" s="2" t="s">
        <v>30</v>
      </c>
      <c r="P1" s="2" t="s">
        <v>33</v>
      </c>
      <c r="Q1" s="2" t="s">
        <v>34</v>
      </c>
      <c r="R1" s="2" t="s">
        <v>30</v>
      </c>
      <c r="S1" s="2" t="s">
        <v>33</v>
      </c>
      <c r="T1" s="2" t="s">
        <v>34</v>
      </c>
      <c r="U1" s="2" t="s">
        <v>30</v>
      </c>
      <c r="V1" s="2" t="s">
        <v>33</v>
      </c>
      <c r="W1" s="2" t="s">
        <v>34</v>
      </c>
      <c r="X1" s="2" t="s">
        <v>30</v>
      </c>
      <c r="Y1" s="2" t="s">
        <v>33</v>
      </c>
      <c r="Z1" s="2" t="s">
        <v>34</v>
      </c>
      <c r="AA1" s="2" t="s">
        <v>30</v>
      </c>
      <c r="AB1" s="2" t="s">
        <v>33</v>
      </c>
      <c r="AC1" s="2" t="s">
        <v>34</v>
      </c>
      <c r="AD1" s="2" t="s">
        <v>30</v>
      </c>
      <c r="AE1" s="2" t="s">
        <v>33</v>
      </c>
      <c r="AF1" s="2" t="s">
        <v>34</v>
      </c>
      <c r="AG1" s="2" t="s">
        <v>30</v>
      </c>
      <c r="AH1" s="2" t="s">
        <v>33</v>
      </c>
      <c r="AI1" s="2" t="s">
        <v>34</v>
      </c>
      <c r="AJ1" s="2" t="s">
        <v>30</v>
      </c>
      <c r="AK1" s="2" t="s">
        <v>33</v>
      </c>
      <c r="AL1" s="2" t="s">
        <v>34</v>
      </c>
      <c r="AM1" s="2" t="s">
        <v>30</v>
      </c>
      <c r="AN1" s="2" t="s">
        <v>33</v>
      </c>
      <c r="AO1" s="2" t="s">
        <v>34</v>
      </c>
      <c r="AP1" s="2" t="s">
        <v>30</v>
      </c>
      <c r="AQ1" s="2" t="s">
        <v>33</v>
      </c>
      <c r="AR1" s="2" t="s">
        <v>34</v>
      </c>
      <c r="AS1" s="2" t="s">
        <v>30</v>
      </c>
      <c r="AT1" s="2" t="s">
        <v>33</v>
      </c>
      <c r="AU1" s="2" t="s">
        <v>34</v>
      </c>
      <c r="AV1" s="2" t="s">
        <v>30</v>
      </c>
      <c r="AW1" s="2" t="s">
        <v>33</v>
      </c>
      <c r="AX1" s="2" t="s">
        <v>34</v>
      </c>
      <c r="AY1" s="2" t="s">
        <v>30</v>
      </c>
      <c r="AZ1" s="2" t="s">
        <v>33</v>
      </c>
      <c r="BA1" s="2" t="s">
        <v>34</v>
      </c>
      <c r="BB1" s="2" t="s">
        <v>30</v>
      </c>
      <c r="BC1" s="2" t="s">
        <v>33</v>
      </c>
      <c r="BD1" s="2" t="s">
        <v>34</v>
      </c>
      <c r="BE1" s="2" t="s">
        <v>30</v>
      </c>
      <c r="BF1" s="2" t="s">
        <v>33</v>
      </c>
      <c r="BG1" s="2" t="s">
        <v>34</v>
      </c>
      <c r="BH1" s="2" t="s">
        <v>30</v>
      </c>
      <c r="BI1" s="2" t="s">
        <v>33</v>
      </c>
      <c r="BJ1" s="2" t="s">
        <v>34</v>
      </c>
      <c r="BK1" s="2" t="s">
        <v>30</v>
      </c>
      <c r="BL1" s="2" t="s">
        <v>33</v>
      </c>
      <c r="BM1" s="2" t="s">
        <v>34</v>
      </c>
      <c r="BN1" s="2" t="s">
        <v>30</v>
      </c>
      <c r="BO1" s="2" t="s">
        <v>33</v>
      </c>
      <c r="BP1" s="2" t="s">
        <v>34</v>
      </c>
      <c r="BQ1" s="2" t="s">
        <v>30</v>
      </c>
      <c r="BR1" s="2" t="s">
        <v>33</v>
      </c>
      <c r="BS1" s="2" t="s">
        <v>34</v>
      </c>
      <c r="BT1" s="2" t="s">
        <v>30</v>
      </c>
      <c r="BU1" s="2" t="s">
        <v>33</v>
      </c>
      <c r="BV1" s="2" t="s">
        <v>34</v>
      </c>
      <c r="BW1" s="2" t="s">
        <v>30</v>
      </c>
      <c r="BX1" s="2" t="s">
        <v>33</v>
      </c>
      <c r="BY1" s="2" t="s">
        <v>34</v>
      </c>
      <c r="BZ1" s="2" t="s">
        <v>30</v>
      </c>
      <c r="CA1" s="2" t="s">
        <v>33</v>
      </c>
      <c r="CB1" s="2" t="s">
        <v>34</v>
      </c>
      <c r="CC1" s="2" t="s">
        <v>30</v>
      </c>
      <c r="CD1" s="2" t="s">
        <v>33</v>
      </c>
      <c r="CE1" s="2" t="s">
        <v>34</v>
      </c>
      <c r="CF1" s="2" t="s">
        <v>30</v>
      </c>
      <c r="CG1" s="2" t="s">
        <v>33</v>
      </c>
      <c r="CH1" s="2" t="s">
        <v>34</v>
      </c>
      <c r="CI1" s="2" t="s">
        <v>30</v>
      </c>
      <c r="CJ1" s="2" t="s">
        <v>33</v>
      </c>
      <c r="CK1" s="2" t="s">
        <v>34</v>
      </c>
      <c r="CL1" s="2" t="s">
        <v>30</v>
      </c>
      <c r="CM1" s="2" t="s">
        <v>33</v>
      </c>
      <c r="CN1" s="2" t="s">
        <v>34</v>
      </c>
      <c r="CO1" s="2" t="s">
        <v>30</v>
      </c>
      <c r="CP1" s="2" t="s">
        <v>33</v>
      </c>
      <c r="CQ1" s="2" t="s">
        <v>34</v>
      </c>
      <c r="CR1" s="2" t="s">
        <v>30</v>
      </c>
      <c r="CS1" s="2" t="s">
        <v>33</v>
      </c>
      <c r="CT1" s="2" t="s">
        <v>34</v>
      </c>
      <c r="CU1" s="2" t="s">
        <v>30</v>
      </c>
      <c r="CV1" s="2" t="s">
        <v>33</v>
      </c>
      <c r="CW1" s="2" t="s">
        <v>34</v>
      </c>
      <c r="CX1" s="2" t="s">
        <v>30</v>
      </c>
      <c r="CY1" s="2" t="s">
        <v>33</v>
      </c>
      <c r="CZ1" s="2" t="s">
        <v>34</v>
      </c>
      <c r="DA1" s="2" t="s">
        <v>30</v>
      </c>
      <c r="DB1" s="2" t="s">
        <v>33</v>
      </c>
      <c r="DC1" s="2" t="s">
        <v>34</v>
      </c>
      <c r="DD1" s="2" t="s">
        <v>30</v>
      </c>
      <c r="DE1" s="2" t="s">
        <v>33</v>
      </c>
      <c r="DF1" s="2" t="s">
        <v>34</v>
      </c>
      <c r="DG1" s="2" t="s">
        <v>30</v>
      </c>
      <c r="DH1" s="2" t="s">
        <v>33</v>
      </c>
      <c r="DI1" s="2" t="s">
        <v>34</v>
      </c>
      <c r="DJ1" s="2" t="s">
        <v>30</v>
      </c>
      <c r="DK1" s="2" t="s">
        <v>33</v>
      </c>
      <c r="DL1" s="2" t="s">
        <v>34</v>
      </c>
      <c r="DM1" s="2" t="s">
        <v>30</v>
      </c>
      <c r="DN1" s="2" t="s">
        <v>33</v>
      </c>
      <c r="DO1" s="2" t="s">
        <v>34</v>
      </c>
      <c r="DP1" s="2" t="s">
        <v>30</v>
      </c>
      <c r="DQ1" s="2" t="s">
        <v>33</v>
      </c>
      <c r="DR1" s="2" t="s">
        <v>34</v>
      </c>
      <c r="DS1" s="2" t="s">
        <v>30</v>
      </c>
      <c r="DT1" s="2" t="s">
        <v>33</v>
      </c>
      <c r="DU1" s="2" t="s">
        <v>34</v>
      </c>
      <c r="DV1" s="2" t="s">
        <v>30</v>
      </c>
      <c r="DW1" s="2" t="s">
        <v>33</v>
      </c>
      <c r="DX1" s="2" t="s">
        <v>34</v>
      </c>
      <c r="DY1" s="2" t="s">
        <v>30</v>
      </c>
      <c r="DZ1" s="2" t="s">
        <v>33</v>
      </c>
      <c r="EA1" s="2" t="s">
        <v>34</v>
      </c>
      <c r="EB1" s="2" t="s">
        <v>30</v>
      </c>
      <c r="EC1" s="2" t="s">
        <v>33</v>
      </c>
      <c r="ED1" s="2" t="s">
        <v>34</v>
      </c>
      <c r="EE1" s="2" t="s">
        <v>30</v>
      </c>
      <c r="EF1" s="2" t="s">
        <v>33</v>
      </c>
      <c r="EG1" s="2" t="s">
        <v>34</v>
      </c>
      <c r="EH1" s="2" t="s">
        <v>30</v>
      </c>
      <c r="EI1" s="2" t="s">
        <v>33</v>
      </c>
      <c r="EJ1" s="2" t="s">
        <v>34</v>
      </c>
      <c r="EK1" s="2" t="s">
        <v>30</v>
      </c>
      <c r="EL1" s="2" t="s">
        <v>33</v>
      </c>
      <c r="EM1" s="2" t="s">
        <v>34</v>
      </c>
      <c r="EN1" s="2" t="s">
        <v>30</v>
      </c>
      <c r="EO1" s="2" t="s">
        <v>33</v>
      </c>
      <c r="EP1" s="2" t="s">
        <v>34</v>
      </c>
      <c r="EQ1" s="2" t="s">
        <v>30</v>
      </c>
      <c r="ER1" s="2" t="s">
        <v>33</v>
      </c>
      <c r="ES1" s="2" t="s">
        <v>34</v>
      </c>
      <c r="ET1" s="2" t="s">
        <v>30</v>
      </c>
      <c r="EU1" s="2" t="s">
        <v>33</v>
      </c>
      <c r="EV1" s="2" t="s">
        <v>34</v>
      </c>
      <c r="EW1" s="2" t="s">
        <v>30</v>
      </c>
      <c r="EX1" s="2" t="s">
        <v>33</v>
      </c>
      <c r="EY1" s="2" t="s">
        <v>34</v>
      </c>
      <c r="EZ1" s="2" t="s">
        <v>30</v>
      </c>
      <c r="FA1" s="2" t="s">
        <v>33</v>
      </c>
      <c r="FB1" s="2" t="s">
        <v>34</v>
      </c>
      <c r="FC1" s="2" t="s">
        <v>30</v>
      </c>
      <c r="FD1" s="2" t="s">
        <v>33</v>
      </c>
      <c r="FE1" s="2" t="s">
        <v>34</v>
      </c>
      <c r="FF1" s="2" t="s">
        <v>30</v>
      </c>
      <c r="FG1" s="2" t="s">
        <v>33</v>
      </c>
      <c r="FH1" s="2" t="s">
        <v>34</v>
      </c>
      <c r="FI1" s="2" t="s">
        <v>30</v>
      </c>
      <c r="FJ1" s="2" t="s">
        <v>33</v>
      </c>
      <c r="FK1" s="2" t="s">
        <v>34</v>
      </c>
      <c r="FL1" s="2" t="s">
        <v>30</v>
      </c>
      <c r="FM1" s="2" t="s">
        <v>33</v>
      </c>
      <c r="FN1" s="2" t="s">
        <v>34</v>
      </c>
      <c r="FO1" s="2" t="s">
        <v>30</v>
      </c>
      <c r="FP1" s="2" t="s">
        <v>33</v>
      </c>
      <c r="FQ1" s="2" t="s">
        <v>34</v>
      </c>
      <c r="FR1" s="2" t="s">
        <v>30</v>
      </c>
      <c r="FS1" s="2" t="s">
        <v>33</v>
      </c>
      <c r="FT1" s="2" t="s">
        <v>34</v>
      </c>
      <c r="FU1" s="2" t="s">
        <v>30</v>
      </c>
      <c r="FV1" s="2" t="s">
        <v>33</v>
      </c>
      <c r="FW1" s="2" t="s">
        <v>34</v>
      </c>
      <c r="FX1" s="2" t="s">
        <v>30</v>
      </c>
      <c r="FY1" s="2" t="s">
        <v>33</v>
      </c>
      <c r="FZ1" s="2" t="s">
        <v>34</v>
      </c>
      <c r="GA1" s="2" t="s">
        <v>30</v>
      </c>
      <c r="GB1" s="2" t="s">
        <v>33</v>
      </c>
      <c r="GC1" s="2" t="s">
        <v>34</v>
      </c>
      <c r="GD1" s="2" t="s">
        <v>30</v>
      </c>
      <c r="GE1" s="2" t="s">
        <v>33</v>
      </c>
      <c r="GF1" s="2" t="s">
        <v>34</v>
      </c>
      <c r="GG1" s="2" t="s">
        <v>30</v>
      </c>
      <c r="GH1" s="2" t="s">
        <v>33</v>
      </c>
      <c r="GI1" s="2" t="s">
        <v>34</v>
      </c>
      <c r="GJ1" s="2" t="s">
        <v>30</v>
      </c>
      <c r="GK1" s="2" t="s">
        <v>33</v>
      </c>
      <c r="GL1" s="2" t="s">
        <v>34</v>
      </c>
      <c r="GM1" s="2" t="s">
        <v>30</v>
      </c>
      <c r="GN1" s="2" t="s">
        <v>33</v>
      </c>
      <c r="GO1" s="2" t="s">
        <v>34</v>
      </c>
      <c r="GP1" s="2" t="s">
        <v>30</v>
      </c>
      <c r="GQ1" s="2" t="s">
        <v>33</v>
      </c>
      <c r="GR1" s="2" t="s">
        <v>34</v>
      </c>
      <c r="GS1" s="2" t="s">
        <v>30</v>
      </c>
      <c r="GT1" s="2" t="s">
        <v>33</v>
      </c>
      <c r="GU1" s="2" t="s">
        <v>34</v>
      </c>
      <c r="GV1" s="2" t="s">
        <v>30</v>
      </c>
      <c r="GW1" s="2" t="s">
        <v>33</v>
      </c>
      <c r="GX1" s="2" t="s">
        <v>34</v>
      </c>
      <c r="GY1" s="2" t="s">
        <v>30</v>
      </c>
      <c r="GZ1" s="2" t="s">
        <v>33</v>
      </c>
      <c r="HA1" s="2" t="s">
        <v>34</v>
      </c>
      <c r="HB1" s="2" t="s">
        <v>30</v>
      </c>
      <c r="HC1" s="2" t="s">
        <v>33</v>
      </c>
      <c r="HD1" s="2" t="s">
        <v>34</v>
      </c>
      <c r="HE1" s="2" t="s">
        <v>30</v>
      </c>
      <c r="HF1" s="2" t="s">
        <v>33</v>
      </c>
      <c r="HG1" s="2" t="s">
        <v>34</v>
      </c>
      <c r="HH1" s="2" t="s">
        <v>30</v>
      </c>
      <c r="HI1" s="2" t="s">
        <v>33</v>
      </c>
      <c r="HJ1" s="2" t="s">
        <v>34</v>
      </c>
      <c r="HK1" s="2" t="s">
        <v>30</v>
      </c>
      <c r="HL1" s="2" t="s">
        <v>33</v>
      </c>
      <c r="HM1" s="2" t="s">
        <v>34</v>
      </c>
      <c r="HN1" s="2" t="s">
        <v>30</v>
      </c>
      <c r="HO1" s="2" t="s">
        <v>33</v>
      </c>
      <c r="HP1" s="2" t="s">
        <v>34</v>
      </c>
      <c r="HQ1" s="2" t="s">
        <v>30</v>
      </c>
      <c r="HR1" s="2" t="s">
        <v>33</v>
      </c>
      <c r="HS1" s="2" t="s">
        <v>34</v>
      </c>
      <c r="HT1" s="2" t="s">
        <v>30</v>
      </c>
      <c r="HU1" s="2" t="s">
        <v>33</v>
      </c>
      <c r="HV1" s="2" t="s">
        <v>34</v>
      </c>
      <c r="HW1" s="2" t="s">
        <v>30</v>
      </c>
      <c r="HX1" s="2" t="s">
        <v>33</v>
      </c>
      <c r="HY1" s="2" t="s">
        <v>34</v>
      </c>
      <c r="HZ1" s="2" t="s">
        <v>30</v>
      </c>
      <c r="IA1" s="2" t="s">
        <v>33</v>
      </c>
      <c r="IB1" s="2" t="s">
        <v>34</v>
      </c>
      <c r="IC1" s="2" t="s">
        <v>30</v>
      </c>
      <c r="ID1" s="2" t="s">
        <v>33</v>
      </c>
      <c r="IE1" s="2" t="s">
        <v>34</v>
      </c>
      <c r="IF1" s="2" t="s">
        <v>30</v>
      </c>
      <c r="IG1" s="2" t="s">
        <v>33</v>
      </c>
      <c r="IH1" s="2" t="s">
        <v>34</v>
      </c>
      <c r="II1" s="2" t="s">
        <v>30</v>
      </c>
      <c r="IJ1" s="2" t="s">
        <v>33</v>
      </c>
      <c r="IK1" s="2" t="s">
        <v>34</v>
      </c>
      <c r="IL1" s="2" t="s">
        <v>30</v>
      </c>
      <c r="IM1" s="2" t="s">
        <v>33</v>
      </c>
      <c r="IN1" s="2" t="s">
        <v>34</v>
      </c>
      <c r="IO1" s="2" t="s">
        <v>30</v>
      </c>
      <c r="IP1" s="2" t="s">
        <v>33</v>
      </c>
      <c r="IQ1" s="2" t="s">
        <v>34</v>
      </c>
      <c r="IR1" s="2" t="s">
        <v>30</v>
      </c>
      <c r="IS1" s="2" t="s">
        <v>33</v>
      </c>
      <c r="IT1" s="2" t="s">
        <v>34</v>
      </c>
      <c r="IU1" s="2" t="s">
        <v>30</v>
      </c>
      <c r="IV1" s="2" t="s">
        <v>33</v>
      </c>
      <c r="IW1" s="2" t="s">
        <v>34</v>
      </c>
      <c r="IX1" s="2" t="s">
        <v>30</v>
      </c>
      <c r="IY1" s="2" t="s">
        <v>33</v>
      </c>
      <c r="IZ1" s="2" t="s">
        <v>34</v>
      </c>
      <c r="JA1" s="2" t="s">
        <v>30</v>
      </c>
      <c r="JB1" s="2" t="s">
        <v>33</v>
      </c>
      <c r="JC1" s="2" t="s">
        <v>34</v>
      </c>
      <c r="JD1" s="2" t="s">
        <v>30</v>
      </c>
      <c r="JE1" s="2" t="s">
        <v>33</v>
      </c>
      <c r="JF1" s="2" t="s">
        <v>34</v>
      </c>
      <c r="JG1" s="2" t="s">
        <v>30</v>
      </c>
      <c r="JH1" s="2" t="s">
        <v>33</v>
      </c>
      <c r="JI1" s="2" t="s">
        <v>34</v>
      </c>
      <c r="JJ1" s="2" t="s">
        <v>30</v>
      </c>
      <c r="JK1" s="2" t="s">
        <v>33</v>
      </c>
      <c r="JL1" s="2" t="s">
        <v>34</v>
      </c>
      <c r="JM1" s="2" t="s">
        <v>30</v>
      </c>
      <c r="JN1" s="2" t="s">
        <v>33</v>
      </c>
      <c r="JO1" s="2" t="s">
        <v>34</v>
      </c>
      <c r="JP1" s="2" t="s">
        <v>30</v>
      </c>
      <c r="JQ1" s="2" t="s">
        <v>33</v>
      </c>
      <c r="JR1" s="2" t="s">
        <v>34</v>
      </c>
      <c r="JS1" s="2" t="s">
        <v>30</v>
      </c>
      <c r="JT1" s="2" t="s">
        <v>33</v>
      </c>
      <c r="JU1" s="2" t="s">
        <v>34</v>
      </c>
      <c r="JV1" s="2" t="s">
        <v>30</v>
      </c>
      <c r="JW1" s="2" t="s">
        <v>33</v>
      </c>
      <c r="JX1" s="2" t="s">
        <v>34</v>
      </c>
      <c r="JY1" s="2" t="s">
        <v>30</v>
      </c>
      <c r="JZ1" s="2" t="s">
        <v>33</v>
      </c>
      <c r="KA1" s="2" t="s">
        <v>34</v>
      </c>
      <c r="KB1" s="2" t="s">
        <v>30</v>
      </c>
      <c r="KC1" s="2" t="s">
        <v>33</v>
      </c>
      <c r="KD1" s="2" t="s">
        <v>34</v>
      </c>
      <c r="KE1" s="2" t="s">
        <v>30</v>
      </c>
      <c r="KF1" s="2" t="s">
        <v>33</v>
      </c>
      <c r="KG1" s="2" t="s">
        <v>34</v>
      </c>
      <c r="KH1" s="2" t="s">
        <v>30</v>
      </c>
      <c r="KI1" s="2" t="s">
        <v>33</v>
      </c>
      <c r="KJ1" s="2" t="s">
        <v>34</v>
      </c>
      <c r="KK1" s="2" t="s">
        <v>30</v>
      </c>
      <c r="KL1" s="2" t="s">
        <v>33</v>
      </c>
      <c r="KM1" s="2" t="s">
        <v>34</v>
      </c>
      <c r="KN1" s="2" t="s">
        <v>30</v>
      </c>
      <c r="KO1" s="2" t="s">
        <v>33</v>
      </c>
      <c r="KP1" s="2" t="s">
        <v>34</v>
      </c>
      <c r="KQ1" s="2" t="s">
        <v>30</v>
      </c>
      <c r="KR1" s="2" t="s">
        <v>33</v>
      </c>
      <c r="KS1" s="2" t="s">
        <v>34</v>
      </c>
      <c r="KT1" s="2" t="s">
        <v>30</v>
      </c>
      <c r="KU1" s="2" t="s">
        <v>33</v>
      </c>
      <c r="KV1" s="2" t="s">
        <v>34</v>
      </c>
      <c r="KW1" s="2" t="s">
        <v>30</v>
      </c>
      <c r="KX1" s="2" t="s">
        <v>33</v>
      </c>
      <c r="KY1" s="2" t="s">
        <v>34</v>
      </c>
      <c r="KZ1" s="2" t="s">
        <v>30</v>
      </c>
      <c r="LA1" s="2" t="s">
        <v>33</v>
      </c>
      <c r="LB1" s="2" t="s">
        <v>34</v>
      </c>
      <c r="LC1" s="2" t="s">
        <v>30</v>
      </c>
      <c r="LD1" s="2" t="s">
        <v>33</v>
      </c>
      <c r="LE1" s="2" t="s">
        <v>34</v>
      </c>
      <c r="LF1" s="2" t="s">
        <v>30</v>
      </c>
      <c r="LG1" s="2" t="s">
        <v>33</v>
      </c>
      <c r="LH1" s="2" t="s">
        <v>34</v>
      </c>
      <c r="LI1" s="2" t="s">
        <v>30</v>
      </c>
      <c r="LJ1" s="2" t="s">
        <v>33</v>
      </c>
      <c r="LK1" s="2" t="s">
        <v>34</v>
      </c>
      <c r="LL1" s="2" t="s">
        <v>30</v>
      </c>
      <c r="LM1" s="2" t="s">
        <v>33</v>
      </c>
      <c r="LN1" s="2" t="s">
        <v>34</v>
      </c>
      <c r="LO1" s="2" t="s">
        <v>30</v>
      </c>
      <c r="LP1" s="2" t="s">
        <v>33</v>
      </c>
      <c r="LQ1" s="2" t="s">
        <v>34</v>
      </c>
      <c r="LR1" s="2" t="s">
        <v>30</v>
      </c>
      <c r="LS1" s="2" t="s">
        <v>33</v>
      </c>
      <c r="LT1" s="2" t="s">
        <v>34</v>
      </c>
      <c r="LU1" s="2" t="s">
        <v>30</v>
      </c>
      <c r="LV1" s="2" t="s">
        <v>33</v>
      </c>
      <c r="LW1" s="2" t="s">
        <v>34</v>
      </c>
      <c r="LX1" s="2" t="s">
        <v>30</v>
      </c>
      <c r="LY1" s="2" t="s">
        <v>33</v>
      </c>
      <c r="LZ1" s="2" t="s">
        <v>34</v>
      </c>
      <c r="MA1" s="2" t="s">
        <v>30</v>
      </c>
      <c r="MB1" s="2" t="s">
        <v>33</v>
      </c>
      <c r="MC1" s="2" t="s">
        <v>34</v>
      </c>
      <c r="MD1" s="2" t="s">
        <v>30</v>
      </c>
      <c r="ME1" s="2" t="s">
        <v>33</v>
      </c>
      <c r="MF1" s="2" t="s">
        <v>34</v>
      </c>
      <c r="MG1" s="2" t="s">
        <v>30</v>
      </c>
      <c r="MH1" s="2" t="s">
        <v>33</v>
      </c>
      <c r="MI1" s="2" t="s">
        <v>34</v>
      </c>
      <c r="MJ1" s="2" t="s">
        <v>30</v>
      </c>
      <c r="MK1" s="2" t="s">
        <v>33</v>
      </c>
      <c r="ML1" s="2" t="s">
        <v>34</v>
      </c>
      <c r="MM1" s="2" t="s">
        <v>30</v>
      </c>
      <c r="MN1" s="2" t="s">
        <v>33</v>
      </c>
      <c r="MO1" s="2" t="s">
        <v>34</v>
      </c>
      <c r="MP1" s="2" t="s">
        <v>30</v>
      </c>
      <c r="MQ1" s="2" t="s">
        <v>33</v>
      </c>
      <c r="MR1" s="2" t="s">
        <v>34</v>
      </c>
      <c r="MS1" s="2" t="s">
        <v>30</v>
      </c>
      <c r="MT1" s="2" t="s">
        <v>33</v>
      </c>
      <c r="MU1" s="2" t="s">
        <v>34</v>
      </c>
      <c r="MV1" s="2" t="s">
        <v>30</v>
      </c>
      <c r="MW1" s="2" t="s">
        <v>33</v>
      </c>
      <c r="MX1" s="2" t="s">
        <v>34</v>
      </c>
      <c r="MY1" s="2" t="s">
        <v>30</v>
      </c>
      <c r="MZ1" s="2" t="s">
        <v>33</v>
      </c>
      <c r="NA1" s="2" t="s">
        <v>34</v>
      </c>
      <c r="NB1" s="2" t="s">
        <v>30</v>
      </c>
      <c r="NC1" s="2" t="s">
        <v>33</v>
      </c>
      <c r="ND1" s="2" t="s">
        <v>34</v>
      </c>
      <c r="NE1" s="2" t="s">
        <v>30</v>
      </c>
      <c r="NF1" s="2" t="s">
        <v>33</v>
      </c>
      <c r="NG1" s="2" t="s">
        <v>34</v>
      </c>
      <c r="NH1" s="2" t="s">
        <v>30</v>
      </c>
      <c r="NI1" s="2" t="s">
        <v>33</v>
      </c>
      <c r="NJ1" s="2" t="s">
        <v>34</v>
      </c>
    </row>
    <row r="2">
      <c r="A2" s="2" t="s">
        <v>1</v>
      </c>
      <c r="B2" s="3"/>
      <c r="C2" s="2">
        <v>2013.0</v>
      </c>
      <c r="D2" s="2">
        <v>2013.0</v>
      </c>
      <c r="E2" s="2">
        <v>2013.0</v>
      </c>
      <c r="F2" s="2">
        <v>2013.0</v>
      </c>
      <c r="G2" s="2">
        <v>2013.0</v>
      </c>
      <c r="H2" s="2">
        <v>2013.0</v>
      </c>
      <c r="I2" s="2">
        <v>2013.0</v>
      </c>
      <c r="J2" s="2">
        <v>2013.0</v>
      </c>
      <c r="K2" s="2">
        <v>2013.0</v>
      </c>
      <c r="L2" s="2">
        <v>2013.0</v>
      </c>
      <c r="M2" s="2">
        <v>2013.0</v>
      </c>
      <c r="N2" s="2">
        <v>2013.0</v>
      </c>
      <c r="O2" s="2">
        <v>2013.0</v>
      </c>
      <c r="P2" s="2">
        <v>2013.0</v>
      </c>
      <c r="Q2" s="2">
        <v>2013.0</v>
      </c>
      <c r="R2" s="2">
        <v>2013.0</v>
      </c>
      <c r="S2" s="2">
        <v>2013.0</v>
      </c>
      <c r="T2" s="2">
        <v>2013.0</v>
      </c>
      <c r="U2" s="2">
        <v>2013.0</v>
      </c>
      <c r="V2" s="2">
        <v>2013.0</v>
      </c>
      <c r="W2" s="2">
        <v>2013.0</v>
      </c>
      <c r="X2" s="2">
        <v>2013.0</v>
      </c>
      <c r="Y2" s="2">
        <v>2013.0</v>
      </c>
      <c r="Z2" s="2">
        <v>2013.0</v>
      </c>
      <c r="AA2" s="2">
        <v>2013.0</v>
      </c>
      <c r="AB2" s="2">
        <v>2013.0</v>
      </c>
      <c r="AC2" s="2">
        <v>2013.0</v>
      </c>
      <c r="AD2" s="2">
        <v>2013.0</v>
      </c>
      <c r="AE2" s="2">
        <v>2013.0</v>
      </c>
      <c r="AF2" s="2">
        <v>2013.0</v>
      </c>
      <c r="AG2" s="2">
        <v>2013.0</v>
      </c>
      <c r="AH2" s="2">
        <v>2013.0</v>
      </c>
      <c r="AI2" s="2">
        <v>2013.0</v>
      </c>
      <c r="AJ2" s="2">
        <v>2013.0</v>
      </c>
      <c r="AK2" s="2">
        <v>2013.0</v>
      </c>
      <c r="AL2" s="2">
        <v>2013.0</v>
      </c>
      <c r="AM2" s="2">
        <v>2014.0</v>
      </c>
      <c r="AN2" s="2">
        <v>2014.0</v>
      </c>
      <c r="AO2" s="2">
        <v>2014.0</v>
      </c>
      <c r="AP2" s="2">
        <v>2014.0</v>
      </c>
      <c r="AQ2" s="2">
        <v>2014.0</v>
      </c>
      <c r="AR2" s="2">
        <v>2014.0</v>
      </c>
      <c r="AS2" s="2">
        <v>2014.0</v>
      </c>
      <c r="AT2" s="2">
        <v>2014.0</v>
      </c>
      <c r="AU2" s="2">
        <v>2014.0</v>
      </c>
      <c r="AV2" s="2">
        <v>2014.0</v>
      </c>
      <c r="AW2" s="2">
        <v>2014.0</v>
      </c>
      <c r="AX2" s="2">
        <v>2014.0</v>
      </c>
      <c r="AY2" s="2">
        <v>2014.0</v>
      </c>
      <c r="AZ2" s="2">
        <v>2014.0</v>
      </c>
      <c r="BA2" s="2">
        <v>2014.0</v>
      </c>
      <c r="BB2" s="2">
        <v>2014.0</v>
      </c>
      <c r="BC2" s="2">
        <v>2014.0</v>
      </c>
      <c r="BD2" s="2">
        <v>2014.0</v>
      </c>
      <c r="BE2" s="2">
        <v>2014.0</v>
      </c>
      <c r="BF2" s="2">
        <v>2014.0</v>
      </c>
      <c r="BG2" s="2">
        <v>2014.0</v>
      </c>
      <c r="BH2" s="2">
        <v>2014.0</v>
      </c>
      <c r="BI2" s="2">
        <v>2014.0</v>
      </c>
      <c r="BJ2" s="2">
        <v>2014.0</v>
      </c>
      <c r="BK2" s="2">
        <v>2014.0</v>
      </c>
      <c r="BL2" s="2">
        <v>2014.0</v>
      </c>
      <c r="BM2" s="2">
        <v>2014.0</v>
      </c>
      <c r="BN2" s="2">
        <v>2014.0</v>
      </c>
      <c r="BO2" s="2">
        <v>2014.0</v>
      </c>
      <c r="BP2" s="2">
        <v>2014.0</v>
      </c>
      <c r="BQ2" s="2">
        <v>2014.0</v>
      </c>
      <c r="BR2" s="2">
        <v>2014.0</v>
      </c>
      <c r="BS2" s="2">
        <v>2014.0</v>
      </c>
      <c r="BT2" s="2">
        <v>2014.0</v>
      </c>
      <c r="BU2" s="2">
        <v>2014.0</v>
      </c>
      <c r="BV2" s="2">
        <v>2014.0</v>
      </c>
      <c r="BW2" s="2">
        <v>2015.0</v>
      </c>
      <c r="BX2" s="2">
        <v>2015.0</v>
      </c>
      <c r="BY2" s="2">
        <v>2015.0</v>
      </c>
      <c r="BZ2" s="2">
        <v>2015.0</v>
      </c>
      <c r="CA2" s="2">
        <v>2015.0</v>
      </c>
      <c r="CB2" s="2">
        <v>2015.0</v>
      </c>
      <c r="CC2" s="2">
        <v>2015.0</v>
      </c>
      <c r="CD2" s="2">
        <v>2015.0</v>
      </c>
      <c r="CE2" s="2">
        <v>2015.0</v>
      </c>
      <c r="CF2" s="2">
        <v>2015.0</v>
      </c>
      <c r="CG2" s="2">
        <v>2015.0</v>
      </c>
      <c r="CH2" s="2">
        <v>2015.0</v>
      </c>
      <c r="CI2" s="2">
        <v>2015.0</v>
      </c>
      <c r="CJ2" s="2">
        <v>2015.0</v>
      </c>
      <c r="CK2" s="2">
        <v>2015.0</v>
      </c>
      <c r="CL2" s="2">
        <v>2015.0</v>
      </c>
      <c r="CM2" s="2">
        <v>2015.0</v>
      </c>
      <c r="CN2" s="2">
        <v>2015.0</v>
      </c>
      <c r="CO2" s="2">
        <v>2015.0</v>
      </c>
      <c r="CP2" s="2">
        <v>2015.0</v>
      </c>
      <c r="CQ2" s="2">
        <v>2015.0</v>
      </c>
      <c r="CR2" s="2">
        <v>2015.0</v>
      </c>
      <c r="CS2" s="2">
        <v>2015.0</v>
      </c>
      <c r="CT2" s="2">
        <v>2015.0</v>
      </c>
      <c r="CU2" s="2">
        <v>2015.0</v>
      </c>
      <c r="CV2" s="2">
        <v>2015.0</v>
      </c>
      <c r="CW2" s="2">
        <v>2015.0</v>
      </c>
      <c r="CX2" s="2">
        <v>2015.0</v>
      </c>
      <c r="CY2" s="2">
        <v>2015.0</v>
      </c>
      <c r="CZ2" s="2">
        <v>2015.0</v>
      </c>
      <c r="DA2" s="2">
        <v>2015.0</v>
      </c>
      <c r="DB2" s="2">
        <v>2015.0</v>
      </c>
      <c r="DC2" s="2">
        <v>2015.0</v>
      </c>
      <c r="DD2" s="2">
        <v>2015.0</v>
      </c>
      <c r="DE2" s="2">
        <v>2015.0</v>
      </c>
      <c r="DF2" s="2">
        <v>2015.0</v>
      </c>
      <c r="DG2" s="2">
        <v>2016.0</v>
      </c>
      <c r="DH2" s="2">
        <v>2016.0</v>
      </c>
      <c r="DI2" s="2">
        <v>2016.0</v>
      </c>
      <c r="DJ2" s="2">
        <v>2016.0</v>
      </c>
      <c r="DK2" s="2">
        <v>2016.0</v>
      </c>
      <c r="DL2" s="2">
        <v>2016.0</v>
      </c>
      <c r="DM2" s="2">
        <v>2016.0</v>
      </c>
      <c r="DN2" s="2">
        <v>2016.0</v>
      </c>
      <c r="DO2" s="2">
        <v>2016.0</v>
      </c>
      <c r="DP2" s="2">
        <v>2016.0</v>
      </c>
      <c r="DQ2" s="2">
        <v>2016.0</v>
      </c>
      <c r="DR2" s="2">
        <v>2016.0</v>
      </c>
      <c r="DS2" s="2">
        <v>2016.0</v>
      </c>
      <c r="DT2" s="2">
        <v>2016.0</v>
      </c>
      <c r="DU2" s="2">
        <v>2016.0</v>
      </c>
      <c r="DV2" s="2">
        <v>2016.0</v>
      </c>
      <c r="DW2" s="2">
        <v>2016.0</v>
      </c>
      <c r="DX2" s="2">
        <v>2016.0</v>
      </c>
      <c r="DY2" s="2">
        <v>2016.0</v>
      </c>
      <c r="DZ2" s="2">
        <v>2016.0</v>
      </c>
      <c r="EA2" s="2">
        <v>2016.0</v>
      </c>
      <c r="EB2" s="2">
        <v>2016.0</v>
      </c>
      <c r="EC2" s="2">
        <v>2016.0</v>
      </c>
      <c r="ED2" s="2">
        <v>2016.0</v>
      </c>
      <c r="EE2" s="2">
        <v>2016.0</v>
      </c>
      <c r="EF2" s="2">
        <v>2016.0</v>
      </c>
      <c r="EG2" s="2">
        <v>2016.0</v>
      </c>
      <c r="EH2" s="2">
        <v>2016.0</v>
      </c>
      <c r="EI2" s="2">
        <v>2016.0</v>
      </c>
      <c r="EJ2" s="2">
        <v>2016.0</v>
      </c>
      <c r="EK2" s="2">
        <v>2016.0</v>
      </c>
      <c r="EL2" s="2">
        <v>2016.0</v>
      </c>
      <c r="EM2" s="2">
        <v>2016.0</v>
      </c>
      <c r="EN2" s="2">
        <v>2016.0</v>
      </c>
      <c r="EO2" s="2">
        <v>2016.0</v>
      </c>
      <c r="EP2" s="2">
        <v>2016.0</v>
      </c>
      <c r="EQ2" s="2">
        <v>2017.0</v>
      </c>
      <c r="ER2" s="2">
        <v>2017.0</v>
      </c>
      <c r="ES2" s="2">
        <v>2017.0</v>
      </c>
      <c r="ET2" s="2">
        <v>2017.0</v>
      </c>
      <c r="EU2" s="2">
        <v>2017.0</v>
      </c>
      <c r="EV2" s="2">
        <v>2017.0</v>
      </c>
      <c r="EW2" s="2">
        <v>2017.0</v>
      </c>
      <c r="EX2" s="2">
        <v>2017.0</v>
      </c>
      <c r="EY2" s="2">
        <v>2017.0</v>
      </c>
      <c r="EZ2" s="2">
        <v>2017.0</v>
      </c>
      <c r="FA2" s="2">
        <v>2017.0</v>
      </c>
      <c r="FB2" s="2">
        <v>2017.0</v>
      </c>
      <c r="FC2" s="2">
        <v>2017.0</v>
      </c>
      <c r="FD2" s="2">
        <v>2017.0</v>
      </c>
      <c r="FE2" s="2">
        <v>2017.0</v>
      </c>
      <c r="FF2" s="2">
        <v>2017.0</v>
      </c>
      <c r="FG2" s="2">
        <v>2017.0</v>
      </c>
      <c r="FH2" s="2">
        <v>2017.0</v>
      </c>
      <c r="FI2" s="2">
        <v>2017.0</v>
      </c>
      <c r="FJ2" s="2">
        <v>2017.0</v>
      </c>
      <c r="FK2" s="2">
        <v>2017.0</v>
      </c>
      <c r="FL2" s="2">
        <v>2017.0</v>
      </c>
      <c r="FM2" s="2">
        <v>2017.0</v>
      </c>
      <c r="FN2" s="2">
        <v>2017.0</v>
      </c>
      <c r="FO2" s="2">
        <v>2017.0</v>
      </c>
      <c r="FP2" s="2">
        <v>2017.0</v>
      </c>
      <c r="FQ2" s="2">
        <v>2017.0</v>
      </c>
      <c r="FR2" s="2">
        <v>2017.0</v>
      </c>
      <c r="FS2" s="2">
        <v>2017.0</v>
      </c>
      <c r="FT2" s="2">
        <v>2017.0</v>
      </c>
      <c r="FU2" s="2">
        <v>2017.0</v>
      </c>
      <c r="FV2" s="2">
        <v>2017.0</v>
      </c>
      <c r="FW2" s="2">
        <v>2017.0</v>
      </c>
      <c r="FX2" s="2">
        <v>2017.0</v>
      </c>
      <c r="FY2" s="2">
        <v>2017.0</v>
      </c>
      <c r="FZ2" s="2">
        <v>2017.0</v>
      </c>
      <c r="GA2" s="2">
        <v>2018.0</v>
      </c>
      <c r="GB2" s="2">
        <v>2018.0</v>
      </c>
      <c r="GC2" s="2">
        <v>2018.0</v>
      </c>
      <c r="GD2" s="2">
        <v>2018.0</v>
      </c>
      <c r="GE2" s="2">
        <v>2018.0</v>
      </c>
      <c r="GF2" s="2">
        <v>2018.0</v>
      </c>
      <c r="GG2" s="2">
        <v>2018.0</v>
      </c>
      <c r="GH2" s="2">
        <v>2018.0</v>
      </c>
      <c r="GI2" s="2">
        <v>2018.0</v>
      </c>
      <c r="GJ2" s="2">
        <v>2018.0</v>
      </c>
      <c r="GK2" s="2">
        <v>2018.0</v>
      </c>
      <c r="GL2" s="2">
        <v>2018.0</v>
      </c>
      <c r="GM2" s="2">
        <v>2018.0</v>
      </c>
      <c r="GN2" s="2">
        <v>2018.0</v>
      </c>
      <c r="GO2" s="2">
        <v>2018.0</v>
      </c>
      <c r="GP2" s="2">
        <v>2018.0</v>
      </c>
      <c r="GQ2" s="2">
        <v>2018.0</v>
      </c>
      <c r="GR2" s="2">
        <v>2018.0</v>
      </c>
      <c r="GS2" s="2">
        <v>2018.0</v>
      </c>
      <c r="GT2" s="2">
        <v>2018.0</v>
      </c>
      <c r="GU2" s="2">
        <v>2018.0</v>
      </c>
      <c r="GV2" s="2">
        <v>2018.0</v>
      </c>
      <c r="GW2" s="2">
        <v>2018.0</v>
      </c>
      <c r="GX2" s="2">
        <v>2018.0</v>
      </c>
      <c r="GY2" s="2">
        <v>2018.0</v>
      </c>
      <c r="GZ2" s="2">
        <v>2018.0</v>
      </c>
      <c r="HA2" s="2">
        <v>2018.0</v>
      </c>
      <c r="HB2" s="2">
        <v>2018.0</v>
      </c>
      <c r="HC2" s="2">
        <v>2018.0</v>
      </c>
      <c r="HD2" s="2">
        <v>2018.0</v>
      </c>
      <c r="HE2" s="2">
        <v>2018.0</v>
      </c>
      <c r="HF2" s="2">
        <v>2018.0</v>
      </c>
      <c r="HG2" s="2">
        <v>2018.0</v>
      </c>
      <c r="HH2" s="2">
        <v>2018.0</v>
      </c>
      <c r="HI2" s="2">
        <v>2018.0</v>
      </c>
      <c r="HJ2" s="2">
        <v>2018.0</v>
      </c>
      <c r="HK2" s="2">
        <v>2019.0</v>
      </c>
      <c r="HL2" s="2">
        <v>2019.0</v>
      </c>
      <c r="HM2" s="2">
        <v>2019.0</v>
      </c>
      <c r="HN2" s="2">
        <v>2019.0</v>
      </c>
      <c r="HO2" s="2">
        <v>2019.0</v>
      </c>
      <c r="HP2" s="2">
        <v>2019.0</v>
      </c>
      <c r="HQ2" s="2">
        <v>2019.0</v>
      </c>
      <c r="HR2" s="2">
        <v>2019.0</v>
      </c>
      <c r="HS2" s="2">
        <v>2019.0</v>
      </c>
      <c r="HT2" s="2">
        <v>2019.0</v>
      </c>
      <c r="HU2" s="2">
        <v>2019.0</v>
      </c>
      <c r="HV2" s="2">
        <v>2019.0</v>
      </c>
      <c r="HW2" s="2">
        <v>2019.0</v>
      </c>
      <c r="HX2" s="2">
        <v>2019.0</v>
      </c>
      <c r="HY2" s="2">
        <v>2019.0</v>
      </c>
      <c r="HZ2" s="2">
        <v>2019.0</v>
      </c>
      <c r="IA2" s="2">
        <v>2019.0</v>
      </c>
      <c r="IB2" s="2">
        <v>2019.0</v>
      </c>
      <c r="IC2" s="2">
        <v>2019.0</v>
      </c>
      <c r="ID2" s="2">
        <v>2019.0</v>
      </c>
      <c r="IE2" s="2">
        <v>2019.0</v>
      </c>
      <c r="IF2" s="2">
        <v>2019.0</v>
      </c>
      <c r="IG2" s="2">
        <v>2019.0</v>
      </c>
      <c r="IH2" s="2">
        <v>2019.0</v>
      </c>
      <c r="II2" s="2">
        <v>2019.0</v>
      </c>
      <c r="IJ2" s="2">
        <v>2019.0</v>
      </c>
      <c r="IK2" s="2">
        <v>2019.0</v>
      </c>
      <c r="IL2" s="2">
        <v>2019.0</v>
      </c>
      <c r="IM2" s="2">
        <v>2019.0</v>
      </c>
      <c r="IN2" s="2">
        <v>2019.0</v>
      </c>
      <c r="IO2" s="2">
        <v>2019.0</v>
      </c>
      <c r="IP2" s="2">
        <v>2019.0</v>
      </c>
      <c r="IQ2" s="2">
        <v>2019.0</v>
      </c>
      <c r="IR2" s="2">
        <v>2020.0</v>
      </c>
      <c r="IS2" s="2">
        <v>2020.0</v>
      </c>
      <c r="IT2" s="2">
        <v>2020.0</v>
      </c>
      <c r="IU2" s="2">
        <v>2020.0</v>
      </c>
      <c r="IV2" s="2">
        <v>2020.0</v>
      </c>
      <c r="IW2" s="2">
        <v>2020.0</v>
      </c>
      <c r="IX2" s="2">
        <v>2020.0</v>
      </c>
      <c r="IY2" s="2">
        <v>2020.0</v>
      </c>
      <c r="IZ2" s="2">
        <v>2020.0</v>
      </c>
      <c r="JA2" s="2">
        <v>2020.0</v>
      </c>
      <c r="JB2" s="2">
        <v>2020.0</v>
      </c>
      <c r="JC2" s="2">
        <v>2020.0</v>
      </c>
      <c r="JD2" s="2">
        <v>2020.0</v>
      </c>
      <c r="JE2" s="2">
        <v>2020.0</v>
      </c>
      <c r="JF2" s="2">
        <v>2020.0</v>
      </c>
      <c r="JG2" s="2">
        <v>2020.0</v>
      </c>
      <c r="JH2" s="2">
        <v>2020.0</v>
      </c>
      <c r="JI2" s="2">
        <v>2020.0</v>
      </c>
      <c r="JJ2" s="2">
        <v>2020.0</v>
      </c>
      <c r="JK2" s="2">
        <v>2020.0</v>
      </c>
      <c r="JL2" s="2">
        <v>2020.0</v>
      </c>
      <c r="JM2" s="2">
        <v>2020.0</v>
      </c>
      <c r="JN2" s="2">
        <v>2020.0</v>
      </c>
      <c r="JO2" s="2">
        <v>2020.0</v>
      </c>
      <c r="JP2" s="2">
        <v>2020.0</v>
      </c>
      <c r="JQ2" s="2">
        <v>2020.0</v>
      </c>
      <c r="JR2" s="2">
        <v>2020.0</v>
      </c>
      <c r="JS2" s="2">
        <v>2020.0</v>
      </c>
      <c r="JT2" s="2">
        <v>2020.0</v>
      </c>
      <c r="JU2" s="2">
        <v>2020.0</v>
      </c>
      <c r="JV2" s="2">
        <v>2020.0</v>
      </c>
      <c r="JW2" s="2">
        <v>2020.0</v>
      </c>
      <c r="JX2" s="2">
        <v>2020.0</v>
      </c>
      <c r="JY2" s="2">
        <v>2020.0</v>
      </c>
      <c r="JZ2" s="2">
        <v>2020.0</v>
      </c>
      <c r="KA2" s="2">
        <v>2020.0</v>
      </c>
      <c r="KB2" s="2">
        <v>2021.0</v>
      </c>
      <c r="KC2" s="2">
        <v>2021.0</v>
      </c>
      <c r="KD2" s="2">
        <v>2021.0</v>
      </c>
      <c r="KE2" s="2">
        <v>2021.0</v>
      </c>
      <c r="KF2" s="2">
        <v>2021.0</v>
      </c>
      <c r="KG2" s="2">
        <v>2021.0</v>
      </c>
      <c r="KH2" s="2">
        <v>2021.0</v>
      </c>
      <c r="KI2" s="2">
        <v>2021.0</v>
      </c>
      <c r="KJ2" s="2">
        <v>2021.0</v>
      </c>
      <c r="KK2" s="2">
        <v>2021.0</v>
      </c>
      <c r="KL2" s="2">
        <v>2021.0</v>
      </c>
      <c r="KM2" s="2">
        <v>2021.0</v>
      </c>
      <c r="KN2" s="2">
        <v>2021.0</v>
      </c>
      <c r="KO2" s="2">
        <v>2021.0</v>
      </c>
      <c r="KP2" s="2">
        <v>2021.0</v>
      </c>
      <c r="KQ2" s="2">
        <v>2021.0</v>
      </c>
      <c r="KR2" s="2">
        <v>2021.0</v>
      </c>
      <c r="KS2" s="2">
        <v>2021.0</v>
      </c>
      <c r="KT2" s="2">
        <v>2021.0</v>
      </c>
      <c r="KU2" s="2">
        <v>2021.0</v>
      </c>
      <c r="KV2" s="2">
        <v>2021.0</v>
      </c>
      <c r="KW2" s="2">
        <v>2021.0</v>
      </c>
      <c r="KX2" s="2">
        <v>2021.0</v>
      </c>
      <c r="KY2" s="2">
        <v>2021.0</v>
      </c>
      <c r="KZ2" s="2">
        <v>2021.0</v>
      </c>
      <c r="LA2" s="2">
        <v>2021.0</v>
      </c>
      <c r="LB2" s="2">
        <v>2021.0</v>
      </c>
      <c r="LC2" s="2">
        <v>2021.0</v>
      </c>
      <c r="LD2" s="2">
        <v>2021.0</v>
      </c>
      <c r="LE2" s="2">
        <v>2021.0</v>
      </c>
      <c r="LF2" s="2">
        <v>2021.0</v>
      </c>
      <c r="LG2" s="2">
        <v>2021.0</v>
      </c>
      <c r="LH2" s="2">
        <v>2021.0</v>
      </c>
      <c r="LI2" s="2">
        <v>2021.0</v>
      </c>
      <c r="LJ2" s="2">
        <v>2021.0</v>
      </c>
      <c r="LK2" s="2">
        <v>2021.0</v>
      </c>
      <c r="LL2" s="2">
        <v>2022.0</v>
      </c>
      <c r="LM2" s="2">
        <v>2022.0</v>
      </c>
      <c r="LN2" s="2">
        <v>2022.0</v>
      </c>
      <c r="LO2" s="2">
        <v>2022.0</v>
      </c>
      <c r="LP2" s="2">
        <v>2022.0</v>
      </c>
      <c r="LQ2" s="2">
        <v>2022.0</v>
      </c>
      <c r="LR2" s="2">
        <v>2022.0</v>
      </c>
      <c r="LS2" s="2">
        <v>2022.0</v>
      </c>
      <c r="LT2" s="2">
        <v>2022.0</v>
      </c>
      <c r="LU2" s="2">
        <v>2022.0</v>
      </c>
      <c r="LV2" s="2">
        <v>2022.0</v>
      </c>
      <c r="LW2" s="2">
        <v>2022.0</v>
      </c>
      <c r="LX2" s="2">
        <v>2022.0</v>
      </c>
      <c r="LY2" s="2">
        <v>2022.0</v>
      </c>
      <c r="LZ2" s="2">
        <v>2022.0</v>
      </c>
      <c r="MA2" s="2">
        <v>2022.0</v>
      </c>
      <c r="MB2" s="2">
        <v>2022.0</v>
      </c>
      <c r="MC2" s="2">
        <v>2022.0</v>
      </c>
      <c r="MD2" s="2">
        <v>2022.0</v>
      </c>
      <c r="ME2" s="2">
        <v>2022.0</v>
      </c>
      <c r="MF2" s="2">
        <v>2022.0</v>
      </c>
      <c r="MG2" s="2">
        <v>2022.0</v>
      </c>
      <c r="MH2" s="2">
        <v>2022.0</v>
      </c>
      <c r="MI2" s="2">
        <v>2022.0</v>
      </c>
      <c r="MJ2" s="2">
        <v>2022.0</v>
      </c>
      <c r="MK2" s="2">
        <v>2022.0</v>
      </c>
      <c r="ML2" s="2">
        <v>2022.0</v>
      </c>
      <c r="MM2" s="2">
        <v>2022.0</v>
      </c>
      <c r="MN2" s="2">
        <v>2022.0</v>
      </c>
      <c r="MO2" s="2">
        <v>2022.0</v>
      </c>
      <c r="MP2" s="2">
        <v>2022.0</v>
      </c>
      <c r="MQ2" s="2">
        <v>2022.0</v>
      </c>
      <c r="MR2" s="2">
        <v>2022.0</v>
      </c>
      <c r="MS2" s="2">
        <v>2022.0</v>
      </c>
      <c r="MT2" s="2">
        <v>2022.0</v>
      </c>
      <c r="MU2" s="2">
        <v>2022.0</v>
      </c>
      <c r="MV2" s="2">
        <v>2023.0</v>
      </c>
      <c r="MW2" s="2">
        <v>2023.0</v>
      </c>
      <c r="MX2" s="2">
        <v>2023.0</v>
      </c>
      <c r="MY2" s="2">
        <v>2023.0</v>
      </c>
      <c r="MZ2" s="2">
        <v>2023.0</v>
      </c>
      <c r="NA2" s="2">
        <v>2023.0</v>
      </c>
      <c r="NB2" s="2">
        <v>2023.0</v>
      </c>
      <c r="NC2" s="2">
        <v>2023.0</v>
      </c>
      <c r="ND2" s="2">
        <v>2023.0</v>
      </c>
      <c r="NE2" s="2">
        <v>2023.0</v>
      </c>
      <c r="NF2" s="2">
        <v>2023.0</v>
      </c>
      <c r="NG2" s="2">
        <v>2023.0</v>
      </c>
      <c r="NH2" s="2">
        <v>2023.0</v>
      </c>
      <c r="NI2" s="2">
        <v>2023.0</v>
      </c>
      <c r="NJ2" s="2">
        <v>2023.0</v>
      </c>
    </row>
    <row r="3">
      <c r="A3" s="2" t="s">
        <v>2</v>
      </c>
      <c r="B3" s="3"/>
      <c r="C3" s="2" t="s">
        <v>31</v>
      </c>
      <c r="D3" s="2" t="s">
        <v>31</v>
      </c>
      <c r="E3" s="2" t="s">
        <v>31</v>
      </c>
      <c r="F3" s="2" t="s">
        <v>35</v>
      </c>
      <c r="G3" s="2" t="s">
        <v>35</v>
      </c>
      <c r="H3" s="2" t="s">
        <v>35</v>
      </c>
      <c r="I3" s="2" t="s">
        <v>36</v>
      </c>
      <c r="J3" s="2" t="s">
        <v>36</v>
      </c>
      <c r="K3" s="2" t="s">
        <v>36</v>
      </c>
      <c r="L3" s="2" t="s">
        <v>37</v>
      </c>
      <c r="M3" s="2" t="s">
        <v>37</v>
      </c>
      <c r="N3" s="2" t="s">
        <v>37</v>
      </c>
      <c r="O3" s="2" t="s">
        <v>38</v>
      </c>
      <c r="P3" s="2" t="s">
        <v>38</v>
      </c>
      <c r="Q3" s="2" t="s">
        <v>38</v>
      </c>
      <c r="R3" s="2" t="s">
        <v>39</v>
      </c>
      <c r="S3" s="2" t="s">
        <v>39</v>
      </c>
      <c r="T3" s="2" t="s">
        <v>39</v>
      </c>
      <c r="U3" s="2" t="s">
        <v>40</v>
      </c>
      <c r="V3" s="2" t="s">
        <v>40</v>
      </c>
      <c r="W3" s="2" t="s">
        <v>40</v>
      </c>
      <c r="X3" s="2" t="s">
        <v>41</v>
      </c>
      <c r="Y3" s="2" t="s">
        <v>41</v>
      </c>
      <c r="Z3" s="2" t="s">
        <v>41</v>
      </c>
      <c r="AA3" s="2" t="s">
        <v>42</v>
      </c>
      <c r="AB3" s="2" t="s">
        <v>42</v>
      </c>
      <c r="AC3" s="2" t="s">
        <v>42</v>
      </c>
      <c r="AD3" s="2" t="s">
        <v>43</v>
      </c>
      <c r="AE3" s="2" t="s">
        <v>43</v>
      </c>
      <c r="AF3" s="2" t="s">
        <v>43</v>
      </c>
      <c r="AG3" s="2" t="s">
        <v>44</v>
      </c>
      <c r="AH3" s="2" t="s">
        <v>45</v>
      </c>
      <c r="AI3" s="2" t="s">
        <v>45</v>
      </c>
      <c r="AJ3" s="2" t="s">
        <v>46</v>
      </c>
      <c r="AK3" s="2" t="s">
        <v>46</v>
      </c>
      <c r="AL3" s="2" t="s">
        <v>46</v>
      </c>
      <c r="AM3" s="2" t="s">
        <v>31</v>
      </c>
      <c r="AN3" s="2" t="s">
        <v>31</v>
      </c>
      <c r="AO3" s="2" t="s">
        <v>31</v>
      </c>
      <c r="AP3" s="2" t="s">
        <v>35</v>
      </c>
      <c r="AQ3" s="2" t="s">
        <v>35</v>
      </c>
      <c r="AR3" s="2" t="s">
        <v>35</v>
      </c>
      <c r="AS3" s="2" t="s">
        <v>36</v>
      </c>
      <c r="AT3" s="2" t="s">
        <v>36</v>
      </c>
      <c r="AU3" s="2" t="s">
        <v>47</v>
      </c>
      <c r="AV3" s="2" t="s">
        <v>37</v>
      </c>
      <c r="AW3" s="2" t="s">
        <v>37</v>
      </c>
      <c r="AX3" s="2" t="s">
        <v>37</v>
      </c>
      <c r="AY3" s="2" t="s">
        <v>38</v>
      </c>
      <c r="AZ3" s="2" t="s">
        <v>38</v>
      </c>
      <c r="BA3" s="2" t="s">
        <v>38</v>
      </c>
      <c r="BB3" s="2" t="s">
        <v>39</v>
      </c>
      <c r="BC3" s="2" t="s">
        <v>39</v>
      </c>
      <c r="BD3" s="2" t="s">
        <v>39</v>
      </c>
      <c r="BE3" s="2" t="s">
        <v>40</v>
      </c>
      <c r="BF3" s="2" t="s">
        <v>40</v>
      </c>
      <c r="BG3" s="2" t="s">
        <v>40</v>
      </c>
      <c r="BH3" s="2" t="s">
        <v>41</v>
      </c>
      <c r="BI3" s="2" t="s">
        <v>41</v>
      </c>
      <c r="BJ3" s="2" t="s">
        <v>41</v>
      </c>
      <c r="BK3" s="2" t="s">
        <v>42</v>
      </c>
      <c r="BL3" s="2" t="s">
        <v>42</v>
      </c>
      <c r="BM3" s="2" t="s">
        <v>42</v>
      </c>
      <c r="BN3" s="2" t="s">
        <v>43</v>
      </c>
      <c r="BO3" s="2" t="s">
        <v>43</v>
      </c>
      <c r="BP3" s="2" t="s">
        <v>43</v>
      </c>
      <c r="BQ3" s="2" t="s">
        <v>45</v>
      </c>
      <c r="BR3" s="2" t="s">
        <v>45</v>
      </c>
      <c r="BS3" s="2" t="s">
        <v>45</v>
      </c>
      <c r="BT3" s="2" t="s">
        <v>46</v>
      </c>
      <c r="BU3" s="2" t="s">
        <v>46</v>
      </c>
      <c r="BV3" s="2" t="s">
        <v>46</v>
      </c>
      <c r="BW3" s="2" t="s">
        <v>31</v>
      </c>
      <c r="BX3" s="2" t="s">
        <v>31</v>
      </c>
      <c r="BY3" s="2" t="s">
        <v>31</v>
      </c>
      <c r="BZ3" s="2" t="s">
        <v>35</v>
      </c>
      <c r="CA3" s="2" t="s">
        <v>35</v>
      </c>
      <c r="CB3" s="2" t="s">
        <v>35</v>
      </c>
      <c r="CC3" s="2" t="s">
        <v>36</v>
      </c>
      <c r="CD3" s="2" t="s">
        <v>36</v>
      </c>
      <c r="CE3" s="2" t="s">
        <v>36</v>
      </c>
      <c r="CF3" s="2" t="s">
        <v>37</v>
      </c>
      <c r="CG3" s="2" t="s">
        <v>37</v>
      </c>
      <c r="CH3" s="2" t="s">
        <v>37</v>
      </c>
      <c r="CI3" s="2" t="s">
        <v>38</v>
      </c>
      <c r="CJ3" s="2" t="s">
        <v>38</v>
      </c>
      <c r="CK3" s="2" t="s">
        <v>38</v>
      </c>
      <c r="CL3" s="2" t="s">
        <v>39</v>
      </c>
      <c r="CM3" s="2" t="s">
        <v>39</v>
      </c>
      <c r="CN3" s="2" t="s">
        <v>39</v>
      </c>
      <c r="CO3" s="2" t="s">
        <v>40</v>
      </c>
      <c r="CP3" s="2" t="s">
        <v>40</v>
      </c>
      <c r="CQ3" s="2" t="s">
        <v>40</v>
      </c>
      <c r="CR3" s="2" t="s">
        <v>41</v>
      </c>
      <c r="CS3" s="2" t="s">
        <v>41</v>
      </c>
      <c r="CT3" s="2" t="s">
        <v>41</v>
      </c>
      <c r="CU3" s="2" t="s">
        <v>42</v>
      </c>
      <c r="CV3" s="2" t="s">
        <v>42</v>
      </c>
      <c r="CW3" s="2" t="s">
        <v>42</v>
      </c>
      <c r="CX3" s="2" t="s">
        <v>43</v>
      </c>
      <c r="CY3" s="2" t="s">
        <v>43</v>
      </c>
      <c r="CZ3" s="2" t="s">
        <v>43</v>
      </c>
      <c r="DA3" s="2" t="s">
        <v>45</v>
      </c>
      <c r="DB3" s="2" t="s">
        <v>45</v>
      </c>
      <c r="DC3" s="2" t="s">
        <v>45</v>
      </c>
      <c r="DD3" s="2" t="s">
        <v>46</v>
      </c>
      <c r="DE3" s="2" t="s">
        <v>46</v>
      </c>
      <c r="DF3" s="2" t="s">
        <v>46</v>
      </c>
      <c r="DG3" s="2" t="s">
        <v>31</v>
      </c>
      <c r="DH3" s="2" t="s">
        <v>31</v>
      </c>
      <c r="DI3" s="2" t="s">
        <v>31</v>
      </c>
      <c r="DJ3" s="2" t="s">
        <v>35</v>
      </c>
      <c r="DK3" s="2" t="s">
        <v>35</v>
      </c>
      <c r="DL3" s="2" t="s">
        <v>35</v>
      </c>
      <c r="DM3" s="2" t="s">
        <v>36</v>
      </c>
      <c r="DN3" s="2" t="s">
        <v>36</v>
      </c>
      <c r="DO3" s="2" t="s">
        <v>36</v>
      </c>
      <c r="DP3" s="2" t="s">
        <v>37</v>
      </c>
      <c r="DQ3" s="2" t="s">
        <v>37</v>
      </c>
      <c r="DR3" s="2" t="s">
        <v>37</v>
      </c>
      <c r="DS3" s="2" t="s">
        <v>38</v>
      </c>
      <c r="DT3" s="2" t="s">
        <v>38</v>
      </c>
      <c r="DU3" s="2" t="s">
        <v>38</v>
      </c>
      <c r="DV3" s="2" t="s">
        <v>39</v>
      </c>
      <c r="DW3" s="2" t="s">
        <v>39</v>
      </c>
      <c r="DX3" s="2" t="s">
        <v>39</v>
      </c>
      <c r="DY3" s="2" t="s">
        <v>40</v>
      </c>
      <c r="DZ3" s="2" t="s">
        <v>40</v>
      </c>
      <c r="EA3" s="2" t="s">
        <v>40</v>
      </c>
      <c r="EB3" s="2" t="s">
        <v>41</v>
      </c>
      <c r="EC3" s="2" t="s">
        <v>41</v>
      </c>
      <c r="ED3" s="2" t="s">
        <v>41</v>
      </c>
      <c r="EE3" s="2" t="s">
        <v>42</v>
      </c>
      <c r="EF3" s="2" t="s">
        <v>42</v>
      </c>
      <c r="EG3" s="2" t="s">
        <v>42</v>
      </c>
      <c r="EH3" s="2" t="s">
        <v>43</v>
      </c>
      <c r="EI3" s="2" t="s">
        <v>43</v>
      </c>
      <c r="EJ3" s="2" t="s">
        <v>43</v>
      </c>
      <c r="EK3" s="2" t="s">
        <v>45</v>
      </c>
      <c r="EL3" s="2" t="s">
        <v>45</v>
      </c>
      <c r="EM3" s="2" t="s">
        <v>45</v>
      </c>
      <c r="EN3" s="2" t="s">
        <v>46</v>
      </c>
      <c r="EO3" s="2" t="s">
        <v>46</v>
      </c>
      <c r="EP3" s="2" t="s">
        <v>46</v>
      </c>
      <c r="EQ3" s="2" t="s">
        <v>31</v>
      </c>
      <c r="ER3" s="2" t="s">
        <v>31</v>
      </c>
      <c r="ES3" s="2" t="s">
        <v>31</v>
      </c>
      <c r="ET3" s="2" t="s">
        <v>35</v>
      </c>
      <c r="EU3" s="2" t="s">
        <v>35</v>
      </c>
      <c r="EV3" s="2" t="s">
        <v>35</v>
      </c>
      <c r="EW3" s="2" t="s">
        <v>36</v>
      </c>
      <c r="EX3" s="2" t="s">
        <v>36</v>
      </c>
      <c r="EY3" s="2" t="s">
        <v>36</v>
      </c>
      <c r="EZ3" s="2" t="s">
        <v>37</v>
      </c>
      <c r="FA3" s="2" t="s">
        <v>37</v>
      </c>
      <c r="FB3" s="2" t="s">
        <v>37</v>
      </c>
      <c r="FC3" s="2" t="s">
        <v>38</v>
      </c>
      <c r="FD3" s="2" t="s">
        <v>38</v>
      </c>
      <c r="FE3" s="2" t="s">
        <v>38</v>
      </c>
      <c r="FF3" s="2" t="s">
        <v>39</v>
      </c>
      <c r="FG3" s="2" t="s">
        <v>39</v>
      </c>
      <c r="FH3" s="2" t="s">
        <v>39</v>
      </c>
      <c r="FI3" s="2" t="s">
        <v>40</v>
      </c>
      <c r="FJ3" s="2" t="s">
        <v>40</v>
      </c>
      <c r="FK3" s="2" t="s">
        <v>40</v>
      </c>
      <c r="FL3" s="2" t="s">
        <v>41</v>
      </c>
      <c r="FM3" s="2" t="s">
        <v>41</v>
      </c>
      <c r="FN3" s="2" t="s">
        <v>41</v>
      </c>
      <c r="FO3" s="2" t="s">
        <v>42</v>
      </c>
      <c r="FP3" s="2" t="s">
        <v>42</v>
      </c>
      <c r="FQ3" s="2" t="s">
        <v>42</v>
      </c>
      <c r="FR3" s="2" t="s">
        <v>43</v>
      </c>
      <c r="FS3" s="2" t="s">
        <v>43</v>
      </c>
      <c r="FT3" s="2" t="s">
        <v>43</v>
      </c>
      <c r="FU3" s="2" t="s">
        <v>45</v>
      </c>
      <c r="FV3" s="2" t="s">
        <v>45</v>
      </c>
      <c r="FW3" s="2" t="s">
        <v>45</v>
      </c>
      <c r="FX3" s="2" t="s">
        <v>46</v>
      </c>
      <c r="FY3" s="2" t="s">
        <v>46</v>
      </c>
      <c r="FZ3" s="2" t="s">
        <v>46</v>
      </c>
      <c r="GA3" s="2" t="s">
        <v>31</v>
      </c>
      <c r="GB3" s="2" t="s">
        <v>31</v>
      </c>
      <c r="GC3" s="2" t="s">
        <v>31</v>
      </c>
      <c r="GD3" s="2" t="s">
        <v>35</v>
      </c>
      <c r="GE3" s="2" t="s">
        <v>35</v>
      </c>
      <c r="GF3" s="2" t="s">
        <v>35</v>
      </c>
      <c r="GG3" s="2" t="s">
        <v>36</v>
      </c>
      <c r="GH3" s="2" t="s">
        <v>36</v>
      </c>
      <c r="GI3" s="2" t="s">
        <v>36</v>
      </c>
      <c r="GJ3" s="2" t="s">
        <v>37</v>
      </c>
      <c r="GK3" s="2" t="s">
        <v>37</v>
      </c>
      <c r="GL3" s="2" t="s">
        <v>37</v>
      </c>
      <c r="GM3" s="2" t="s">
        <v>38</v>
      </c>
      <c r="GN3" s="2" t="s">
        <v>38</v>
      </c>
      <c r="GO3" s="2" t="s">
        <v>38</v>
      </c>
      <c r="GP3" s="2" t="s">
        <v>39</v>
      </c>
      <c r="GQ3" s="2" t="s">
        <v>39</v>
      </c>
      <c r="GR3" s="2" t="s">
        <v>39</v>
      </c>
      <c r="GS3" s="2" t="s">
        <v>40</v>
      </c>
      <c r="GT3" s="2" t="s">
        <v>40</v>
      </c>
      <c r="GU3" s="2" t="s">
        <v>40</v>
      </c>
      <c r="GV3" s="2" t="s">
        <v>41</v>
      </c>
      <c r="GW3" s="2" t="s">
        <v>41</v>
      </c>
      <c r="GX3" s="2" t="s">
        <v>41</v>
      </c>
      <c r="GY3" s="2" t="s">
        <v>42</v>
      </c>
      <c r="GZ3" s="2" t="s">
        <v>42</v>
      </c>
      <c r="HA3" s="2" t="s">
        <v>42</v>
      </c>
      <c r="HB3" s="2" t="s">
        <v>43</v>
      </c>
      <c r="HC3" s="2" t="s">
        <v>43</v>
      </c>
      <c r="HD3" s="2" t="s">
        <v>43</v>
      </c>
      <c r="HE3" s="2" t="s">
        <v>45</v>
      </c>
      <c r="HF3" s="2" t="s">
        <v>45</v>
      </c>
      <c r="HG3" s="2" t="s">
        <v>45</v>
      </c>
      <c r="HH3" s="2" t="s">
        <v>46</v>
      </c>
      <c r="HI3" s="2" t="s">
        <v>46</v>
      </c>
      <c r="HJ3" s="2" t="s">
        <v>46</v>
      </c>
      <c r="HK3" s="2" t="s">
        <v>31</v>
      </c>
      <c r="HL3" s="2" t="s">
        <v>31</v>
      </c>
      <c r="HM3" s="2" t="s">
        <v>31</v>
      </c>
      <c r="HN3" s="2" t="s">
        <v>35</v>
      </c>
      <c r="HO3" s="2" t="s">
        <v>35</v>
      </c>
      <c r="HP3" s="2" t="s">
        <v>35</v>
      </c>
      <c r="HQ3" s="2" t="s">
        <v>36</v>
      </c>
      <c r="HR3" s="2" t="s">
        <v>36</v>
      </c>
      <c r="HS3" s="2" t="s">
        <v>36</v>
      </c>
      <c r="HT3" s="2" t="s">
        <v>38</v>
      </c>
      <c r="HU3" s="2" t="s">
        <v>38</v>
      </c>
      <c r="HV3" s="2" t="s">
        <v>38</v>
      </c>
      <c r="HW3" s="2" t="s">
        <v>39</v>
      </c>
      <c r="HX3" s="2" t="s">
        <v>39</v>
      </c>
      <c r="HY3" s="2" t="s">
        <v>39</v>
      </c>
      <c r="HZ3" s="2" t="s">
        <v>40</v>
      </c>
      <c r="IA3" s="2" t="s">
        <v>40</v>
      </c>
      <c r="IB3" s="2" t="s">
        <v>40</v>
      </c>
      <c r="IC3" s="2" t="s">
        <v>41</v>
      </c>
      <c r="ID3" s="2" t="s">
        <v>41</v>
      </c>
      <c r="IE3" s="2" t="s">
        <v>41</v>
      </c>
      <c r="IF3" s="2" t="s">
        <v>42</v>
      </c>
      <c r="IG3" s="2" t="s">
        <v>42</v>
      </c>
      <c r="IH3" s="2" t="s">
        <v>42</v>
      </c>
      <c r="II3" s="2" t="s">
        <v>43</v>
      </c>
      <c r="IJ3" s="2" t="s">
        <v>43</v>
      </c>
      <c r="IK3" s="2" t="s">
        <v>43</v>
      </c>
      <c r="IL3" s="2" t="s">
        <v>45</v>
      </c>
      <c r="IM3" s="2" t="s">
        <v>45</v>
      </c>
      <c r="IN3" s="2" t="s">
        <v>45</v>
      </c>
      <c r="IO3" s="2" t="s">
        <v>46</v>
      </c>
      <c r="IP3" s="2" t="s">
        <v>46</v>
      </c>
      <c r="IQ3" s="2" t="s">
        <v>46</v>
      </c>
      <c r="IR3" s="2" t="s">
        <v>31</v>
      </c>
      <c r="IS3" s="2" t="s">
        <v>31</v>
      </c>
      <c r="IT3" s="2" t="s">
        <v>31</v>
      </c>
      <c r="IU3" s="2" t="s">
        <v>35</v>
      </c>
      <c r="IV3" s="2" t="s">
        <v>35</v>
      </c>
      <c r="IW3" s="2" t="s">
        <v>35</v>
      </c>
      <c r="IX3" s="2" t="s">
        <v>36</v>
      </c>
      <c r="IY3" s="2" t="s">
        <v>36</v>
      </c>
      <c r="IZ3" s="2" t="s">
        <v>36</v>
      </c>
      <c r="JA3" s="2" t="s">
        <v>37</v>
      </c>
      <c r="JB3" s="2" t="s">
        <v>37</v>
      </c>
      <c r="JC3" s="2" t="s">
        <v>37</v>
      </c>
      <c r="JD3" s="2" t="s">
        <v>38</v>
      </c>
      <c r="JE3" s="2" t="s">
        <v>38</v>
      </c>
      <c r="JF3" s="2" t="s">
        <v>38</v>
      </c>
      <c r="JG3" s="2" t="s">
        <v>39</v>
      </c>
      <c r="JH3" s="2" t="s">
        <v>39</v>
      </c>
      <c r="JI3" s="2" t="s">
        <v>39</v>
      </c>
      <c r="JJ3" s="2" t="s">
        <v>40</v>
      </c>
      <c r="JK3" s="2" t="s">
        <v>40</v>
      </c>
      <c r="JL3" s="2" t="s">
        <v>40</v>
      </c>
      <c r="JM3" s="2" t="s">
        <v>41</v>
      </c>
      <c r="JN3" s="2" t="s">
        <v>41</v>
      </c>
      <c r="JO3" s="2" t="s">
        <v>41</v>
      </c>
      <c r="JP3" s="2" t="s">
        <v>42</v>
      </c>
      <c r="JQ3" s="2" t="s">
        <v>42</v>
      </c>
      <c r="JR3" s="2" t="s">
        <v>42</v>
      </c>
      <c r="JS3" s="2" t="s">
        <v>43</v>
      </c>
      <c r="JT3" s="2" t="s">
        <v>43</v>
      </c>
      <c r="JU3" s="2" t="s">
        <v>43</v>
      </c>
      <c r="JV3" s="2" t="s">
        <v>45</v>
      </c>
      <c r="JW3" s="2" t="s">
        <v>45</v>
      </c>
      <c r="JX3" s="2" t="s">
        <v>45</v>
      </c>
      <c r="JY3" s="2" t="s">
        <v>46</v>
      </c>
      <c r="JZ3" s="2" t="s">
        <v>46</v>
      </c>
      <c r="KA3" s="2" t="s">
        <v>46</v>
      </c>
      <c r="KB3" s="2" t="s">
        <v>31</v>
      </c>
      <c r="KC3" s="2" t="s">
        <v>31</v>
      </c>
      <c r="KD3" s="2" t="s">
        <v>31</v>
      </c>
      <c r="KE3" s="2" t="s">
        <v>35</v>
      </c>
      <c r="KF3" s="2" t="s">
        <v>35</v>
      </c>
      <c r="KG3" s="2" t="s">
        <v>35</v>
      </c>
      <c r="KH3" s="2" t="s">
        <v>36</v>
      </c>
      <c r="KI3" s="2" t="s">
        <v>36</v>
      </c>
      <c r="KJ3" s="2" t="s">
        <v>36</v>
      </c>
      <c r="KK3" s="2" t="s">
        <v>37</v>
      </c>
      <c r="KL3" s="2" t="s">
        <v>37</v>
      </c>
      <c r="KM3" s="2" t="s">
        <v>37</v>
      </c>
      <c r="KN3" s="2" t="s">
        <v>38</v>
      </c>
      <c r="KO3" s="2" t="s">
        <v>38</v>
      </c>
      <c r="KP3" s="2" t="s">
        <v>38</v>
      </c>
      <c r="KQ3" s="2" t="s">
        <v>39</v>
      </c>
      <c r="KR3" s="2" t="s">
        <v>39</v>
      </c>
      <c r="KS3" s="2" t="s">
        <v>39</v>
      </c>
      <c r="KT3" s="2" t="s">
        <v>40</v>
      </c>
      <c r="KU3" s="2" t="s">
        <v>40</v>
      </c>
      <c r="KV3" s="2" t="s">
        <v>40</v>
      </c>
      <c r="KW3" s="2" t="s">
        <v>41</v>
      </c>
      <c r="KX3" s="2" t="s">
        <v>41</v>
      </c>
      <c r="KY3" s="2" t="s">
        <v>41</v>
      </c>
      <c r="KZ3" s="2" t="s">
        <v>42</v>
      </c>
      <c r="LA3" s="2" t="s">
        <v>42</v>
      </c>
      <c r="LB3" s="2" t="s">
        <v>42</v>
      </c>
      <c r="LC3" s="2" t="s">
        <v>43</v>
      </c>
      <c r="LD3" s="2" t="s">
        <v>43</v>
      </c>
      <c r="LE3" s="2" t="s">
        <v>43</v>
      </c>
      <c r="LF3" s="2" t="s">
        <v>45</v>
      </c>
      <c r="LG3" s="2" t="s">
        <v>45</v>
      </c>
      <c r="LH3" s="2" t="s">
        <v>45</v>
      </c>
      <c r="LI3" s="2" t="s">
        <v>46</v>
      </c>
      <c r="LJ3" s="2" t="s">
        <v>46</v>
      </c>
      <c r="LK3" s="2" t="s">
        <v>46</v>
      </c>
      <c r="LL3" s="2" t="s">
        <v>31</v>
      </c>
      <c r="LM3" s="2" t="s">
        <v>31</v>
      </c>
      <c r="LN3" s="2" t="s">
        <v>31</v>
      </c>
      <c r="LO3" s="2" t="s">
        <v>35</v>
      </c>
      <c r="LP3" s="2" t="s">
        <v>35</v>
      </c>
      <c r="LQ3" s="2" t="s">
        <v>35</v>
      </c>
      <c r="LR3" s="2" t="s">
        <v>36</v>
      </c>
      <c r="LS3" s="2" t="s">
        <v>36</v>
      </c>
      <c r="LT3" s="2" t="s">
        <v>36</v>
      </c>
      <c r="LU3" s="2" t="s">
        <v>37</v>
      </c>
      <c r="LV3" s="2" t="s">
        <v>37</v>
      </c>
      <c r="LW3" s="2" t="s">
        <v>37</v>
      </c>
      <c r="LX3" s="2" t="s">
        <v>38</v>
      </c>
      <c r="LY3" s="2" t="s">
        <v>38</v>
      </c>
      <c r="LZ3" s="2" t="s">
        <v>38</v>
      </c>
      <c r="MA3" s="2" t="s">
        <v>39</v>
      </c>
      <c r="MB3" s="2" t="s">
        <v>39</v>
      </c>
      <c r="MC3" s="2" t="s">
        <v>39</v>
      </c>
      <c r="MD3" s="2" t="s">
        <v>40</v>
      </c>
      <c r="ME3" s="2" t="s">
        <v>40</v>
      </c>
      <c r="MF3" s="2" t="s">
        <v>40</v>
      </c>
      <c r="MG3" s="2" t="s">
        <v>41</v>
      </c>
      <c r="MH3" s="2" t="s">
        <v>41</v>
      </c>
      <c r="MI3" s="2" t="s">
        <v>41</v>
      </c>
      <c r="MJ3" s="2" t="s">
        <v>42</v>
      </c>
      <c r="MK3" s="2" t="s">
        <v>42</v>
      </c>
      <c r="ML3" s="2" t="s">
        <v>42</v>
      </c>
      <c r="MM3" s="2" t="s">
        <v>43</v>
      </c>
      <c r="MN3" s="2" t="s">
        <v>43</v>
      </c>
      <c r="MO3" s="2" t="s">
        <v>43</v>
      </c>
      <c r="MP3" s="2" t="s">
        <v>45</v>
      </c>
      <c r="MQ3" s="2" t="s">
        <v>45</v>
      </c>
      <c r="MR3" s="2" t="s">
        <v>45</v>
      </c>
      <c r="MS3" s="2" t="s">
        <v>46</v>
      </c>
      <c r="MT3" s="2" t="s">
        <v>46</v>
      </c>
      <c r="MU3" s="2" t="s">
        <v>46</v>
      </c>
      <c r="MV3" s="2" t="s">
        <v>31</v>
      </c>
      <c r="MW3" s="2" t="s">
        <v>31</v>
      </c>
      <c r="MX3" s="2" t="s">
        <v>31</v>
      </c>
      <c r="MY3" s="2" t="s">
        <v>35</v>
      </c>
      <c r="MZ3" s="2" t="s">
        <v>35</v>
      </c>
      <c r="NA3" s="2" t="s">
        <v>35</v>
      </c>
      <c r="NB3" s="2" t="s">
        <v>36</v>
      </c>
      <c r="NC3" s="2" t="s">
        <v>36</v>
      </c>
      <c r="ND3" s="2" t="s">
        <v>36</v>
      </c>
      <c r="NE3" s="2" t="s">
        <v>37</v>
      </c>
      <c r="NF3" s="2" t="s">
        <v>37</v>
      </c>
      <c r="NG3" s="2" t="s">
        <v>37</v>
      </c>
      <c r="NH3" s="2" t="s">
        <v>38</v>
      </c>
      <c r="NI3" s="2" t="s">
        <v>38</v>
      </c>
      <c r="NJ3" s="2" t="s">
        <v>38</v>
      </c>
    </row>
    <row r="4">
      <c r="A4" s="2" t="s">
        <v>3</v>
      </c>
      <c r="B4" s="2" t="str">
        <f>VLOOKUP(A4, NOTES!C5:D30, 2,0)</f>
        <v>Food</v>
      </c>
      <c r="C4" s="2">
        <v>107.5</v>
      </c>
      <c r="D4" s="2">
        <v>110.5</v>
      </c>
      <c r="E4" s="2">
        <v>108.4</v>
      </c>
      <c r="F4" s="2">
        <v>109.2</v>
      </c>
      <c r="G4" s="2">
        <v>112.9</v>
      </c>
      <c r="H4" s="2">
        <v>110.4</v>
      </c>
      <c r="I4" s="2">
        <v>110.2</v>
      </c>
      <c r="J4" s="2">
        <v>113.9</v>
      </c>
      <c r="K4" s="2">
        <v>111.4</v>
      </c>
      <c r="L4" s="2">
        <v>110.2</v>
      </c>
      <c r="M4" s="2">
        <v>114.6</v>
      </c>
      <c r="N4" s="2">
        <v>111.6</v>
      </c>
      <c r="O4" s="2">
        <v>110.9</v>
      </c>
      <c r="P4" s="2">
        <v>115.4</v>
      </c>
      <c r="Q4" s="2">
        <v>112.3</v>
      </c>
      <c r="R4" s="2">
        <v>112.3</v>
      </c>
      <c r="S4" s="2">
        <v>117.0</v>
      </c>
      <c r="T4" s="2">
        <v>113.8</v>
      </c>
      <c r="U4" s="2">
        <v>113.4</v>
      </c>
      <c r="V4" s="2">
        <v>117.8</v>
      </c>
      <c r="W4" s="2">
        <v>114.8</v>
      </c>
      <c r="X4" s="2">
        <v>114.3</v>
      </c>
      <c r="Y4" s="2">
        <v>118.3</v>
      </c>
      <c r="Z4" s="2">
        <v>115.6</v>
      </c>
      <c r="AA4" s="2">
        <v>115.4</v>
      </c>
      <c r="AB4" s="2">
        <v>118.6</v>
      </c>
      <c r="AC4" s="2">
        <v>116.4</v>
      </c>
      <c r="AD4" s="2">
        <v>116.3</v>
      </c>
      <c r="AE4" s="2">
        <v>118.9</v>
      </c>
      <c r="AF4" s="2">
        <v>117.1</v>
      </c>
      <c r="AG4" s="2">
        <v>117.3</v>
      </c>
      <c r="AH4" s="2">
        <v>119.8</v>
      </c>
      <c r="AI4" s="2">
        <v>118.1</v>
      </c>
      <c r="AJ4" s="2">
        <v>118.4</v>
      </c>
      <c r="AK4" s="2">
        <v>120.5</v>
      </c>
      <c r="AL4" s="2">
        <v>119.1</v>
      </c>
      <c r="AM4" s="2">
        <v>118.9</v>
      </c>
      <c r="AN4" s="2">
        <v>121.2</v>
      </c>
      <c r="AO4" s="2">
        <v>119.6</v>
      </c>
      <c r="AP4" s="2">
        <v>119.4</v>
      </c>
      <c r="AQ4" s="2">
        <v>121.9</v>
      </c>
      <c r="AR4" s="2">
        <v>120.2</v>
      </c>
      <c r="AS4" s="2">
        <v>120.1</v>
      </c>
      <c r="AT4" s="2">
        <v>122.1</v>
      </c>
      <c r="AU4" s="2">
        <v>120.7</v>
      </c>
      <c r="AV4" s="2">
        <v>120.2</v>
      </c>
      <c r="AW4" s="2">
        <v>122.5</v>
      </c>
      <c r="AX4" s="2">
        <v>120.9</v>
      </c>
      <c r="AY4" s="2">
        <v>120.3</v>
      </c>
      <c r="AZ4" s="2">
        <v>122.7</v>
      </c>
      <c r="BA4" s="2">
        <v>121.1</v>
      </c>
      <c r="BB4" s="2">
        <v>120.7</v>
      </c>
      <c r="BC4" s="2">
        <v>123.1</v>
      </c>
      <c r="BD4" s="2">
        <v>121.5</v>
      </c>
      <c r="BE4" s="2">
        <v>121.7</v>
      </c>
      <c r="BF4" s="2">
        <v>123.8</v>
      </c>
      <c r="BG4" s="2">
        <v>122.4</v>
      </c>
      <c r="BH4" s="2">
        <v>121.8</v>
      </c>
      <c r="BI4" s="2">
        <v>124.8</v>
      </c>
      <c r="BJ4" s="2">
        <v>122.7</v>
      </c>
      <c r="BK4" s="2">
        <v>122.3</v>
      </c>
      <c r="BL4" s="2">
        <v>124.2</v>
      </c>
      <c r="BM4" s="2">
        <v>122.9</v>
      </c>
      <c r="BN4" s="2">
        <v>122.6</v>
      </c>
      <c r="BO4" s="2">
        <v>124.6</v>
      </c>
      <c r="BP4" s="2">
        <v>123.2</v>
      </c>
      <c r="BQ4" s="2">
        <v>122.7</v>
      </c>
      <c r="BR4" s="2">
        <v>124.5</v>
      </c>
      <c r="BS4" s="2">
        <v>123.3</v>
      </c>
      <c r="BT4" s="2">
        <v>122.4</v>
      </c>
      <c r="BU4" s="2">
        <v>124.0</v>
      </c>
      <c r="BV4" s="2">
        <v>122.9</v>
      </c>
      <c r="BW4" s="2">
        <v>123.1</v>
      </c>
      <c r="BX4" s="2">
        <v>124.0</v>
      </c>
      <c r="BY4" s="2">
        <v>123.4</v>
      </c>
      <c r="BZ4" s="2">
        <v>123.4</v>
      </c>
      <c r="CA4" s="2">
        <v>124.3</v>
      </c>
      <c r="CB4" s="2">
        <v>123.7</v>
      </c>
      <c r="CC4" s="2">
        <v>123.3</v>
      </c>
      <c r="CD4" s="2">
        <v>124.0</v>
      </c>
      <c r="CE4" s="2">
        <v>123.5</v>
      </c>
      <c r="CF4" s="2">
        <v>123.3</v>
      </c>
      <c r="CG4" s="2">
        <v>123.8</v>
      </c>
      <c r="CH4" s="2">
        <v>123.5</v>
      </c>
      <c r="CI4" s="2">
        <v>123.5</v>
      </c>
      <c r="CJ4" s="2">
        <v>123.8</v>
      </c>
      <c r="CK4" s="2">
        <v>123.6</v>
      </c>
      <c r="CL4" s="2">
        <v>124.1</v>
      </c>
      <c r="CM4" s="2">
        <v>123.6</v>
      </c>
      <c r="CN4" s="2">
        <v>123.9</v>
      </c>
      <c r="CO4" s="2">
        <v>124.0</v>
      </c>
      <c r="CP4" s="2">
        <v>123.2</v>
      </c>
      <c r="CQ4" s="2">
        <v>123.7</v>
      </c>
      <c r="CR4" s="2">
        <v>124.7</v>
      </c>
      <c r="CS4" s="2">
        <v>123.1</v>
      </c>
      <c r="CT4" s="2">
        <v>124.2</v>
      </c>
      <c r="CU4" s="2">
        <v>125.1</v>
      </c>
      <c r="CV4" s="2">
        <v>123.4</v>
      </c>
      <c r="CW4" s="2">
        <v>124.6</v>
      </c>
      <c r="CX4" s="2">
        <v>125.6</v>
      </c>
      <c r="CY4" s="2">
        <v>123.6</v>
      </c>
      <c r="CZ4" s="2">
        <v>125.0</v>
      </c>
      <c r="DA4" s="2">
        <v>126.1</v>
      </c>
      <c r="DB4" s="2">
        <v>124.0</v>
      </c>
      <c r="DC4" s="2">
        <v>125.4</v>
      </c>
      <c r="DD4" s="2">
        <v>126.3</v>
      </c>
      <c r="DE4" s="2">
        <v>124.3</v>
      </c>
      <c r="DF4" s="2">
        <v>125.7</v>
      </c>
      <c r="DG4" s="2">
        <v>126.8</v>
      </c>
      <c r="DH4" s="2">
        <v>124.7</v>
      </c>
      <c r="DI4" s="2">
        <v>126.1</v>
      </c>
      <c r="DJ4" s="2">
        <v>127.1</v>
      </c>
      <c r="DK4" s="2">
        <v>124.8</v>
      </c>
      <c r="DL4" s="2">
        <v>126.4</v>
      </c>
      <c r="DM4" s="2">
        <v>127.3</v>
      </c>
      <c r="DN4" s="2">
        <v>124.8</v>
      </c>
      <c r="DO4" s="2">
        <v>126.5</v>
      </c>
      <c r="DP4" s="2">
        <v>127.4</v>
      </c>
      <c r="DQ4" s="2">
        <v>124.9</v>
      </c>
      <c r="DR4" s="2">
        <v>126.6</v>
      </c>
      <c r="DS4" s="2">
        <v>127.6</v>
      </c>
      <c r="DT4" s="2">
        <v>125.0</v>
      </c>
      <c r="DU4" s="2">
        <v>126.8</v>
      </c>
      <c r="DV4" s="2">
        <v>128.6</v>
      </c>
      <c r="DW4" s="2">
        <v>125.9</v>
      </c>
      <c r="DX4" s="2">
        <v>127.7</v>
      </c>
      <c r="DY4" s="2">
        <v>129.3</v>
      </c>
      <c r="DZ4" s="2">
        <v>126.8</v>
      </c>
      <c r="EA4" s="2">
        <v>128.5</v>
      </c>
      <c r="EB4" s="2">
        <v>130.1</v>
      </c>
      <c r="EC4" s="2">
        <v>127.6</v>
      </c>
      <c r="ED4" s="2">
        <v>129.3</v>
      </c>
      <c r="EE4" s="2">
        <v>130.8</v>
      </c>
      <c r="EF4" s="2">
        <v>128.1</v>
      </c>
      <c r="EG4" s="2">
        <v>129.9</v>
      </c>
      <c r="EH4" s="2">
        <v>131.3</v>
      </c>
      <c r="EI4" s="2">
        <v>128.7</v>
      </c>
      <c r="EJ4" s="2">
        <v>130.5</v>
      </c>
      <c r="EK4" s="2">
        <v>132.0</v>
      </c>
      <c r="EL4" s="2">
        <v>130.2</v>
      </c>
      <c r="EM4" s="2">
        <v>131.4</v>
      </c>
      <c r="EN4" s="2">
        <v>132.6</v>
      </c>
      <c r="EO4" s="2">
        <v>131.6</v>
      </c>
      <c r="EP4" s="2">
        <v>132.3</v>
      </c>
      <c r="EQ4" s="2">
        <v>133.1</v>
      </c>
      <c r="ER4" s="2">
        <v>132.2</v>
      </c>
      <c r="ES4" s="2">
        <v>132.8</v>
      </c>
      <c r="ET4" s="2">
        <v>133.3</v>
      </c>
      <c r="EU4" s="2">
        <v>132.8</v>
      </c>
      <c r="EV4" s="2">
        <v>133.1</v>
      </c>
      <c r="EW4" s="2">
        <v>133.6</v>
      </c>
      <c r="EX4" s="2">
        <v>132.7</v>
      </c>
      <c r="EY4" s="2">
        <v>133.3</v>
      </c>
      <c r="EZ4" s="2">
        <v>133.2</v>
      </c>
      <c r="FA4" s="2">
        <v>132.7</v>
      </c>
      <c r="FB4" s="2">
        <v>133.0</v>
      </c>
      <c r="FC4" s="2">
        <v>133.1</v>
      </c>
      <c r="FD4" s="2">
        <v>132.6</v>
      </c>
      <c r="FE4" s="2">
        <v>132.9</v>
      </c>
      <c r="FF4" s="2">
        <v>133.5</v>
      </c>
      <c r="FG4" s="2">
        <v>132.9</v>
      </c>
      <c r="FH4" s="2">
        <v>133.3</v>
      </c>
      <c r="FI4" s="2">
        <v>134.0</v>
      </c>
      <c r="FJ4" s="2">
        <v>132.8</v>
      </c>
      <c r="FK4" s="2">
        <v>133.6</v>
      </c>
      <c r="FL4" s="2">
        <v>134.8</v>
      </c>
      <c r="FM4" s="2">
        <v>133.2</v>
      </c>
      <c r="FN4" s="2">
        <v>134.3</v>
      </c>
      <c r="FO4" s="2">
        <v>135.2</v>
      </c>
      <c r="FP4" s="2">
        <v>133.6</v>
      </c>
      <c r="FQ4" s="2">
        <v>134.7</v>
      </c>
      <c r="FR4" s="2">
        <v>135.9</v>
      </c>
      <c r="FS4" s="2">
        <v>133.9</v>
      </c>
      <c r="FT4" s="2">
        <v>135.3</v>
      </c>
      <c r="FU4" s="2">
        <v>136.3</v>
      </c>
      <c r="FV4" s="2">
        <v>134.3</v>
      </c>
      <c r="FW4" s="2">
        <v>135.7</v>
      </c>
      <c r="FX4" s="2">
        <v>136.4</v>
      </c>
      <c r="FY4" s="2">
        <v>134.4</v>
      </c>
      <c r="FZ4" s="2">
        <v>135.8</v>
      </c>
      <c r="GA4" s="2">
        <v>136.6</v>
      </c>
      <c r="GB4" s="2">
        <v>134.6</v>
      </c>
      <c r="GC4" s="2">
        <v>136.0</v>
      </c>
      <c r="GD4" s="2">
        <v>136.4</v>
      </c>
      <c r="GE4" s="2">
        <v>134.8</v>
      </c>
      <c r="GF4" s="2">
        <v>135.9</v>
      </c>
      <c r="GG4" s="2">
        <v>136.8</v>
      </c>
      <c r="GH4" s="2">
        <v>135.0</v>
      </c>
      <c r="GI4" s="2">
        <v>136.2</v>
      </c>
      <c r="GJ4" s="2">
        <v>137.1</v>
      </c>
      <c r="GK4" s="2">
        <v>135.0</v>
      </c>
      <c r="GL4" s="2">
        <v>136.4</v>
      </c>
      <c r="GM4" s="2">
        <v>137.4</v>
      </c>
      <c r="GN4" s="2">
        <v>135.0</v>
      </c>
      <c r="GO4" s="2">
        <v>136.6</v>
      </c>
      <c r="GP4" s="2">
        <v>137.6</v>
      </c>
      <c r="GQ4" s="2">
        <v>135.3</v>
      </c>
      <c r="GR4" s="2">
        <v>136.9</v>
      </c>
      <c r="GS4" s="2">
        <v>138.4</v>
      </c>
      <c r="GT4" s="2">
        <v>135.6</v>
      </c>
      <c r="GU4" s="2">
        <v>137.5</v>
      </c>
      <c r="GV4" s="2">
        <v>139.2</v>
      </c>
      <c r="GW4" s="2">
        <v>136.5</v>
      </c>
      <c r="GX4" s="2">
        <v>138.3</v>
      </c>
      <c r="GY4" s="2">
        <v>139.4</v>
      </c>
      <c r="GZ4" s="2">
        <v>137.0</v>
      </c>
      <c r="HA4" s="2">
        <v>138.6</v>
      </c>
      <c r="HB4" s="2">
        <v>139.3</v>
      </c>
      <c r="HC4" s="2">
        <v>137.6</v>
      </c>
      <c r="HD4" s="2">
        <v>137.4</v>
      </c>
      <c r="HE4" s="2">
        <v>137.1</v>
      </c>
      <c r="HF4" s="2">
        <v>138.1</v>
      </c>
      <c r="HG4" s="2">
        <v>137.4</v>
      </c>
      <c r="HH4" s="2">
        <v>137.1</v>
      </c>
      <c r="HI4" s="2">
        <v>138.5</v>
      </c>
      <c r="HJ4" s="2">
        <v>137.5</v>
      </c>
      <c r="HK4" s="2">
        <v>136.6</v>
      </c>
      <c r="HL4" s="2">
        <v>138.3</v>
      </c>
      <c r="HM4" s="2">
        <v>137.1</v>
      </c>
      <c r="HN4" s="2">
        <v>136.8</v>
      </c>
      <c r="HO4" s="2">
        <v>139.4</v>
      </c>
      <c r="HP4" s="2">
        <v>137.6</v>
      </c>
      <c r="HQ4" s="2">
        <v>136.9</v>
      </c>
      <c r="HR4" s="2">
        <v>139.7</v>
      </c>
      <c r="HS4" s="2">
        <v>137.8</v>
      </c>
      <c r="HT4" s="2">
        <v>137.4</v>
      </c>
      <c r="HU4" s="2">
        <v>140.4</v>
      </c>
      <c r="HV4" s="2">
        <v>138.3</v>
      </c>
      <c r="HW4" s="2">
        <v>137.8</v>
      </c>
      <c r="HX4" s="2">
        <v>140.7</v>
      </c>
      <c r="HY4" s="2">
        <v>138.7</v>
      </c>
      <c r="HZ4" s="2">
        <v>138.4</v>
      </c>
      <c r="IA4" s="2">
        <v>141.4</v>
      </c>
      <c r="IB4" s="2">
        <v>139.3</v>
      </c>
      <c r="IC4" s="2">
        <v>139.2</v>
      </c>
      <c r="ID4" s="2">
        <v>142.1</v>
      </c>
      <c r="IE4" s="2">
        <v>140.1</v>
      </c>
      <c r="IF4" s="2">
        <v>140.1</v>
      </c>
      <c r="IG4" s="2">
        <v>142.7</v>
      </c>
      <c r="IH4" s="2">
        <v>140.9</v>
      </c>
      <c r="II4" s="2">
        <v>141.0</v>
      </c>
      <c r="IJ4" s="2">
        <v>143.5</v>
      </c>
      <c r="IK4" s="2">
        <v>141.8</v>
      </c>
      <c r="IL4" s="2">
        <v>141.8</v>
      </c>
      <c r="IM4" s="2">
        <v>144.1</v>
      </c>
      <c r="IN4" s="2">
        <v>142.5</v>
      </c>
      <c r="IO4" s="2">
        <v>142.8</v>
      </c>
      <c r="IP4" s="2">
        <v>144.9</v>
      </c>
      <c r="IQ4" s="2">
        <v>143.5</v>
      </c>
      <c r="IR4" s="2">
        <v>143.7</v>
      </c>
      <c r="IS4" s="2">
        <v>145.6</v>
      </c>
      <c r="IT4" s="2">
        <v>144.3</v>
      </c>
      <c r="IU4" s="2">
        <v>144.2</v>
      </c>
      <c r="IV4" s="2">
        <v>146.2</v>
      </c>
      <c r="IW4" s="2">
        <v>144.8</v>
      </c>
      <c r="IX4" s="2">
        <v>144.4</v>
      </c>
      <c r="IY4" s="2">
        <v>146.5</v>
      </c>
      <c r="IZ4" s="2">
        <v>145.1</v>
      </c>
      <c r="JA4" s="2">
        <v>147.2</v>
      </c>
      <c r="JB4" s="2">
        <v>151.8</v>
      </c>
      <c r="JC4" s="2">
        <v>148.7</v>
      </c>
      <c r="JD4" s="2" t="s">
        <v>32</v>
      </c>
      <c r="JE4" s="2" t="s">
        <v>32</v>
      </c>
      <c r="JF4" s="2" t="s">
        <v>32</v>
      </c>
      <c r="JG4" s="2">
        <v>148.2</v>
      </c>
      <c r="JH4" s="2">
        <v>152.7</v>
      </c>
      <c r="JI4" s="2">
        <v>149.6</v>
      </c>
      <c r="JJ4" s="2">
        <v>148.2</v>
      </c>
      <c r="JK4" s="2">
        <v>152.7</v>
      </c>
      <c r="JL4" s="2">
        <v>149.6</v>
      </c>
      <c r="JM4" s="2">
        <v>147.6</v>
      </c>
      <c r="JN4" s="2">
        <v>151.6</v>
      </c>
      <c r="JO4" s="2">
        <v>148.9</v>
      </c>
      <c r="JP4" s="2">
        <v>146.9</v>
      </c>
      <c r="JQ4" s="2">
        <v>151.5</v>
      </c>
      <c r="JR4" s="2">
        <v>148.4</v>
      </c>
      <c r="JS4" s="2">
        <v>146.0</v>
      </c>
      <c r="JT4" s="2">
        <v>150.6</v>
      </c>
      <c r="JU4" s="2">
        <v>147.5</v>
      </c>
      <c r="JV4" s="2">
        <v>145.4</v>
      </c>
      <c r="JW4" s="2">
        <v>149.7</v>
      </c>
      <c r="JX4" s="2">
        <v>146.8</v>
      </c>
      <c r="JY4" s="2">
        <v>144.6</v>
      </c>
      <c r="JZ4" s="2">
        <v>149.0</v>
      </c>
      <c r="KA4" s="2">
        <v>146.0</v>
      </c>
      <c r="KB4" s="2">
        <v>143.4</v>
      </c>
      <c r="KC4" s="2">
        <v>148.0</v>
      </c>
      <c r="KD4" s="2">
        <v>144.9</v>
      </c>
      <c r="KE4" s="2">
        <v>142.8</v>
      </c>
      <c r="KF4" s="2">
        <v>147.6</v>
      </c>
      <c r="KG4" s="2">
        <v>144.3</v>
      </c>
      <c r="KH4" s="2">
        <v>142.5</v>
      </c>
      <c r="KI4" s="2">
        <v>147.5</v>
      </c>
      <c r="KJ4" s="2">
        <v>144.1</v>
      </c>
      <c r="KK4" s="2">
        <v>142.7</v>
      </c>
      <c r="KL4" s="2">
        <v>147.6</v>
      </c>
      <c r="KM4" s="2">
        <v>144.3</v>
      </c>
      <c r="KN4" s="2">
        <v>145.1</v>
      </c>
      <c r="KO4" s="2">
        <v>148.8</v>
      </c>
      <c r="KP4" s="2">
        <v>146.3</v>
      </c>
      <c r="KQ4" s="2">
        <v>145.6</v>
      </c>
      <c r="KR4" s="2">
        <v>149.2</v>
      </c>
      <c r="KS4" s="2">
        <v>146.7</v>
      </c>
      <c r="KT4" s="2">
        <v>145.1</v>
      </c>
      <c r="KU4" s="2">
        <v>149.1</v>
      </c>
      <c r="KV4" s="2">
        <v>146.4</v>
      </c>
      <c r="KW4" s="2">
        <v>144.9</v>
      </c>
      <c r="KX4" s="2">
        <v>149.3</v>
      </c>
      <c r="KY4" s="2">
        <v>146.6</v>
      </c>
      <c r="KZ4" s="2">
        <v>145.4</v>
      </c>
      <c r="LA4" s="2">
        <v>149.3</v>
      </c>
      <c r="LB4" s="2">
        <v>146.6</v>
      </c>
      <c r="LC4" s="2">
        <v>146.1</v>
      </c>
      <c r="LD4" s="2">
        <v>150.1</v>
      </c>
      <c r="LE4" s="2">
        <v>147.4</v>
      </c>
      <c r="LF4" s="2">
        <v>146.9</v>
      </c>
      <c r="LG4" s="2">
        <v>151.0</v>
      </c>
      <c r="LH4" s="2">
        <v>148.2</v>
      </c>
      <c r="LI4" s="2">
        <v>147.4</v>
      </c>
      <c r="LJ4" s="2">
        <v>151.6</v>
      </c>
      <c r="LK4" s="2">
        <v>148.7</v>
      </c>
      <c r="LL4" s="2">
        <v>148.3</v>
      </c>
      <c r="LM4" s="2">
        <v>152.2</v>
      </c>
      <c r="LN4" s="2">
        <v>149.5</v>
      </c>
      <c r="LO4" s="2">
        <v>148.8</v>
      </c>
      <c r="LP4" s="2">
        <v>152.5</v>
      </c>
      <c r="LQ4" s="2">
        <v>150.0</v>
      </c>
      <c r="LR4" s="2">
        <v>150.2</v>
      </c>
      <c r="LS4" s="2">
        <v>153.7</v>
      </c>
      <c r="LT4" s="2">
        <v>151.3</v>
      </c>
      <c r="LU4" s="2">
        <v>151.8</v>
      </c>
      <c r="LV4" s="2">
        <v>155.4</v>
      </c>
      <c r="LW4" s="2">
        <v>152.9</v>
      </c>
      <c r="LX4" s="2">
        <v>152.9</v>
      </c>
      <c r="LY4" s="2">
        <v>156.7</v>
      </c>
      <c r="LZ4" s="2">
        <v>154.1</v>
      </c>
      <c r="MA4" s="2">
        <v>153.8</v>
      </c>
      <c r="MB4" s="2">
        <v>157.5</v>
      </c>
      <c r="MC4" s="2">
        <v>155.0</v>
      </c>
      <c r="MD4" s="2">
        <v>155.2</v>
      </c>
      <c r="ME4" s="2">
        <v>159.3</v>
      </c>
      <c r="MF4" s="2">
        <v>156.5</v>
      </c>
      <c r="MG4" s="2">
        <v>159.5</v>
      </c>
      <c r="MH4" s="2">
        <v>162.1</v>
      </c>
      <c r="MI4" s="2">
        <v>160.3</v>
      </c>
      <c r="MJ4" s="2">
        <v>162.9</v>
      </c>
      <c r="MK4" s="2">
        <v>164.9</v>
      </c>
      <c r="ML4" s="2">
        <v>163.5</v>
      </c>
      <c r="MM4" s="2">
        <v>164.7</v>
      </c>
      <c r="MN4" s="2">
        <v>166.4</v>
      </c>
      <c r="MO4" s="2">
        <v>165.2</v>
      </c>
      <c r="MP4" s="2">
        <v>166.9</v>
      </c>
      <c r="MQ4" s="2">
        <v>168.4</v>
      </c>
      <c r="MR4" s="2">
        <v>167.4</v>
      </c>
      <c r="MS4" s="2">
        <v>168.8</v>
      </c>
      <c r="MT4" s="2">
        <v>170.2</v>
      </c>
      <c r="MU4" s="2">
        <v>169.2</v>
      </c>
      <c r="MV4" s="2">
        <v>174.0</v>
      </c>
      <c r="MW4" s="2">
        <v>173.3</v>
      </c>
      <c r="MX4" s="2">
        <v>173.8</v>
      </c>
      <c r="MY4" s="2">
        <v>174.2</v>
      </c>
      <c r="MZ4" s="2">
        <v>174.7</v>
      </c>
      <c r="NA4" s="2">
        <v>174.4</v>
      </c>
      <c r="NB4" s="2">
        <v>174.3</v>
      </c>
      <c r="NC4" s="2">
        <v>174.7</v>
      </c>
      <c r="ND4" s="2">
        <v>174.4</v>
      </c>
      <c r="NE4" s="2">
        <v>173.3</v>
      </c>
      <c r="NF4" s="2">
        <v>174.8</v>
      </c>
      <c r="NG4" s="2">
        <v>173.8</v>
      </c>
      <c r="NH4" s="2">
        <v>173.2</v>
      </c>
      <c r="NI4" s="2">
        <v>174.7</v>
      </c>
      <c r="NJ4" s="2">
        <v>173.7</v>
      </c>
    </row>
    <row r="5">
      <c r="A5" s="2" t="s">
        <v>4</v>
      </c>
      <c r="B5" s="2" t="str">
        <f>VLOOKUP(A5, NOTES!C6:D31, 2,0)</f>
        <v>Food</v>
      </c>
      <c r="C5" s="2">
        <v>106.3</v>
      </c>
      <c r="D5" s="2">
        <v>109.1</v>
      </c>
      <c r="E5" s="2">
        <v>107.3</v>
      </c>
      <c r="F5" s="2">
        <v>108.7</v>
      </c>
      <c r="G5" s="2">
        <v>112.9</v>
      </c>
      <c r="H5" s="2">
        <v>110.2</v>
      </c>
      <c r="I5" s="2">
        <v>108.8</v>
      </c>
      <c r="J5" s="2">
        <v>111.4</v>
      </c>
      <c r="K5" s="2">
        <v>109.7</v>
      </c>
      <c r="L5" s="2">
        <v>109.5</v>
      </c>
      <c r="M5" s="2">
        <v>113.4</v>
      </c>
      <c r="N5" s="2">
        <v>110.9</v>
      </c>
      <c r="O5" s="2">
        <v>109.8</v>
      </c>
      <c r="P5" s="2">
        <v>114.2</v>
      </c>
      <c r="Q5" s="2">
        <v>111.3</v>
      </c>
      <c r="R5" s="2">
        <v>112.1</v>
      </c>
      <c r="S5" s="2">
        <v>120.1</v>
      </c>
      <c r="T5" s="2">
        <v>114.9</v>
      </c>
      <c r="U5" s="2">
        <v>114.9</v>
      </c>
      <c r="V5" s="2">
        <v>119.2</v>
      </c>
      <c r="W5" s="2">
        <v>116.4</v>
      </c>
      <c r="X5" s="2">
        <v>115.4</v>
      </c>
      <c r="Y5" s="2">
        <v>120.4</v>
      </c>
      <c r="Z5" s="2">
        <v>117.2</v>
      </c>
      <c r="AA5" s="2">
        <v>115.7</v>
      </c>
      <c r="AB5" s="2">
        <v>119.1</v>
      </c>
      <c r="AC5" s="2">
        <v>116.9</v>
      </c>
      <c r="AD5" s="2">
        <v>115.4</v>
      </c>
      <c r="AE5" s="2">
        <v>118.1</v>
      </c>
      <c r="AF5" s="2">
        <v>116.3</v>
      </c>
      <c r="AG5" s="2">
        <v>114.9</v>
      </c>
      <c r="AH5" s="2">
        <v>116.3</v>
      </c>
      <c r="AI5" s="2">
        <v>115.4</v>
      </c>
      <c r="AJ5" s="2">
        <v>115.9</v>
      </c>
      <c r="AK5" s="2">
        <v>118.1</v>
      </c>
      <c r="AL5" s="2">
        <v>116.7</v>
      </c>
      <c r="AM5" s="2">
        <v>117.1</v>
      </c>
      <c r="AN5" s="2">
        <v>122.0</v>
      </c>
      <c r="AO5" s="2">
        <v>118.8</v>
      </c>
      <c r="AP5" s="2">
        <v>117.7</v>
      </c>
      <c r="AQ5" s="2">
        <v>122.0</v>
      </c>
      <c r="AR5" s="2">
        <v>119.2</v>
      </c>
      <c r="AS5" s="2">
        <v>118.1</v>
      </c>
      <c r="AT5" s="2">
        <v>121.4</v>
      </c>
      <c r="AU5" s="2">
        <v>119.3</v>
      </c>
      <c r="AV5" s="2">
        <v>118.9</v>
      </c>
      <c r="AW5" s="2">
        <v>121.7</v>
      </c>
      <c r="AX5" s="2">
        <v>119.9</v>
      </c>
      <c r="AY5" s="2">
        <v>120.2</v>
      </c>
      <c r="AZ5" s="2">
        <v>124.1</v>
      </c>
      <c r="BA5" s="2">
        <v>121.6</v>
      </c>
      <c r="BB5" s="2">
        <v>121.6</v>
      </c>
      <c r="BC5" s="2">
        <v>125.9</v>
      </c>
      <c r="BD5" s="2">
        <v>123.1</v>
      </c>
      <c r="BE5" s="2">
        <v>122.5</v>
      </c>
      <c r="BF5" s="2">
        <v>126.4</v>
      </c>
      <c r="BG5" s="2">
        <v>123.9</v>
      </c>
      <c r="BH5" s="2">
        <v>122.8</v>
      </c>
      <c r="BI5" s="2">
        <v>127.3</v>
      </c>
      <c r="BJ5" s="2">
        <v>124.4</v>
      </c>
      <c r="BK5" s="2">
        <v>122.4</v>
      </c>
      <c r="BL5" s="2">
        <v>125.4</v>
      </c>
      <c r="BM5" s="2">
        <v>123.5</v>
      </c>
      <c r="BN5" s="2">
        <v>122.5</v>
      </c>
      <c r="BO5" s="2">
        <v>126.1</v>
      </c>
      <c r="BP5" s="2">
        <v>123.8</v>
      </c>
      <c r="BQ5" s="2">
        <v>122.6</v>
      </c>
      <c r="BR5" s="2">
        <v>125.6</v>
      </c>
      <c r="BS5" s="2">
        <v>123.7</v>
      </c>
      <c r="BT5" s="2">
        <v>122.4</v>
      </c>
      <c r="BU5" s="2">
        <v>124.7</v>
      </c>
      <c r="BV5" s="2">
        <v>123.2</v>
      </c>
      <c r="BW5" s="2">
        <v>123.1</v>
      </c>
      <c r="BX5" s="2">
        <v>125.5</v>
      </c>
      <c r="BY5" s="2">
        <v>123.9</v>
      </c>
      <c r="BZ5" s="2">
        <v>124.4</v>
      </c>
      <c r="CA5" s="2">
        <v>126.5</v>
      </c>
      <c r="CB5" s="2">
        <v>125.1</v>
      </c>
      <c r="CC5" s="2">
        <v>124.7</v>
      </c>
      <c r="CD5" s="2">
        <v>126.7</v>
      </c>
      <c r="CE5" s="2">
        <v>125.4</v>
      </c>
      <c r="CF5" s="2">
        <v>125.5</v>
      </c>
      <c r="CG5" s="2">
        <v>128.2</v>
      </c>
      <c r="CH5" s="2">
        <v>126.4</v>
      </c>
      <c r="CI5" s="2">
        <v>127.1</v>
      </c>
      <c r="CJ5" s="2">
        <v>129.7</v>
      </c>
      <c r="CK5" s="2">
        <v>128.0</v>
      </c>
      <c r="CL5" s="2">
        <v>130.4</v>
      </c>
      <c r="CM5" s="2">
        <v>134.4</v>
      </c>
      <c r="CN5" s="2">
        <v>131.8</v>
      </c>
      <c r="CO5" s="2">
        <v>131.5</v>
      </c>
      <c r="CP5" s="2">
        <v>134.3</v>
      </c>
      <c r="CQ5" s="2">
        <v>132.5</v>
      </c>
      <c r="CR5" s="2">
        <v>131.3</v>
      </c>
      <c r="CS5" s="2">
        <v>131.7</v>
      </c>
      <c r="CT5" s="2">
        <v>131.4</v>
      </c>
      <c r="CU5" s="2">
        <v>131.1</v>
      </c>
      <c r="CV5" s="2">
        <v>129.0</v>
      </c>
      <c r="CW5" s="2">
        <v>130.4</v>
      </c>
      <c r="CX5" s="2">
        <v>130.4</v>
      </c>
      <c r="CY5" s="2">
        <v>128.6</v>
      </c>
      <c r="CZ5" s="2">
        <v>129.8</v>
      </c>
      <c r="DA5" s="2">
        <v>130.6</v>
      </c>
      <c r="DB5" s="2">
        <v>129.8</v>
      </c>
      <c r="DC5" s="2">
        <v>130.3</v>
      </c>
      <c r="DD5" s="2">
        <v>131.3</v>
      </c>
      <c r="DE5" s="2">
        <v>131.7</v>
      </c>
      <c r="DF5" s="2">
        <v>131.4</v>
      </c>
      <c r="DG5" s="2">
        <v>133.2</v>
      </c>
      <c r="DH5" s="2">
        <v>135.9</v>
      </c>
      <c r="DI5" s="2">
        <v>134.1</v>
      </c>
      <c r="DJ5" s="2">
        <v>133.7</v>
      </c>
      <c r="DK5" s="2">
        <v>135.1</v>
      </c>
      <c r="DL5" s="2">
        <v>134.2</v>
      </c>
      <c r="DM5" s="2">
        <v>134.4</v>
      </c>
      <c r="DN5" s="2">
        <v>136.3</v>
      </c>
      <c r="DO5" s="2">
        <v>135.1</v>
      </c>
      <c r="DP5" s="2">
        <v>135.4</v>
      </c>
      <c r="DQ5" s="2">
        <v>139.3</v>
      </c>
      <c r="DR5" s="2">
        <v>136.8</v>
      </c>
      <c r="DS5" s="2">
        <v>137.5</v>
      </c>
      <c r="DT5" s="2">
        <v>142.1</v>
      </c>
      <c r="DU5" s="2">
        <v>139.1</v>
      </c>
      <c r="DV5" s="2">
        <v>138.6</v>
      </c>
      <c r="DW5" s="2">
        <v>143.9</v>
      </c>
      <c r="DX5" s="2">
        <v>140.5</v>
      </c>
      <c r="DY5" s="2">
        <v>139.5</v>
      </c>
      <c r="DZ5" s="2">
        <v>144.2</v>
      </c>
      <c r="EA5" s="2">
        <v>141.2</v>
      </c>
      <c r="EB5" s="2">
        <v>138.8</v>
      </c>
      <c r="EC5" s="2">
        <v>140.3</v>
      </c>
      <c r="ED5" s="2">
        <v>139.3</v>
      </c>
      <c r="EE5" s="2">
        <v>138.2</v>
      </c>
      <c r="EF5" s="2">
        <v>137.7</v>
      </c>
      <c r="EG5" s="2">
        <v>138.0</v>
      </c>
      <c r="EH5" s="2">
        <v>137.6</v>
      </c>
      <c r="EI5" s="2">
        <v>138.4</v>
      </c>
      <c r="EJ5" s="2">
        <v>137.9</v>
      </c>
      <c r="EK5" s="2">
        <v>137.4</v>
      </c>
      <c r="EL5" s="2">
        <v>138.5</v>
      </c>
      <c r="EM5" s="2">
        <v>137.8</v>
      </c>
      <c r="EN5" s="2">
        <v>137.3</v>
      </c>
      <c r="EO5" s="2">
        <v>138.2</v>
      </c>
      <c r="EP5" s="2">
        <v>137.6</v>
      </c>
      <c r="EQ5" s="2">
        <v>137.8</v>
      </c>
      <c r="ER5" s="2">
        <v>138.9</v>
      </c>
      <c r="ES5" s="2">
        <v>138.2</v>
      </c>
      <c r="ET5" s="2">
        <v>138.3</v>
      </c>
      <c r="EU5" s="2">
        <v>139.8</v>
      </c>
      <c r="EV5" s="2">
        <v>138.8</v>
      </c>
      <c r="EW5" s="2">
        <v>138.8</v>
      </c>
      <c r="EX5" s="2">
        <v>139.4</v>
      </c>
      <c r="EY5" s="2">
        <v>139.0</v>
      </c>
      <c r="EZ5" s="2">
        <v>138.7</v>
      </c>
      <c r="FA5" s="2">
        <v>140.6</v>
      </c>
      <c r="FB5" s="2">
        <v>139.4</v>
      </c>
      <c r="FC5" s="2">
        <v>140.3</v>
      </c>
      <c r="FD5" s="2">
        <v>144.1</v>
      </c>
      <c r="FE5" s="2">
        <v>141.6</v>
      </c>
      <c r="FF5" s="2">
        <v>143.7</v>
      </c>
      <c r="FG5" s="2">
        <v>148.7</v>
      </c>
      <c r="FH5" s="2">
        <v>145.5</v>
      </c>
      <c r="FI5" s="2">
        <v>144.2</v>
      </c>
      <c r="FJ5" s="2">
        <v>148.4</v>
      </c>
      <c r="FK5" s="2">
        <v>145.7</v>
      </c>
      <c r="FL5" s="2">
        <v>143.1</v>
      </c>
      <c r="FM5" s="2">
        <v>143.9</v>
      </c>
      <c r="FN5" s="2">
        <v>143.4</v>
      </c>
      <c r="FO5" s="2">
        <v>142.0</v>
      </c>
      <c r="FP5" s="2">
        <v>143.0</v>
      </c>
      <c r="FQ5" s="2">
        <v>142.4</v>
      </c>
      <c r="FR5" s="2">
        <v>141.9</v>
      </c>
      <c r="FS5" s="2">
        <v>142.8</v>
      </c>
      <c r="FT5" s="2">
        <v>142.2</v>
      </c>
      <c r="FU5" s="2">
        <v>142.5</v>
      </c>
      <c r="FV5" s="2">
        <v>142.1</v>
      </c>
      <c r="FW5" s="2">
        <v>142.4</v>
      </c>
      <c r="FX5" s="2">
        <v>143.7</v>
      </c>
      <c r="FY5" s="2">
        <v>142.6</v>
      </c>
      <c r="FZ5" s="2">
        <v>143.3</v>
      </c>
      <c r="GA5" s="2">
        <v>144.4</v>
      </c>
      <c r="GB5" s="2">
        <v>143.7</v>
      </c>
      <c r="GC5" s="2">
        <v>144.2</v>
      </c>
      <c r="GD5" s="2">
        <v>143.7</v>
      </c>
      <c r="GE5" s="2">
        <v>143.0</v>
      </c>
      <c r="GF5" s="2">
        <v>143.5</v>
      </c>
      <c r="GG5" s="2">
        <v>143.8</v>
      </c>
      <c r="GH5" s="2">
        <v>143.1</v>
      </c>
      <c r="GI5" s="2">
        <v>143.6</v>
      </c>
      <c r="GJ5" s="2">
        <v>144.5</v>
      </c>
      <c r="GK5" s="2">
        <v>144.3</v>
      </c>
      <c r="GL5" s="2">
        <v>144.4</v>
      </c>
      <c r="GM5" s="2">
        <v>145.7</v>
      </c>
      <c r="GN5" s="2">
        <v>148.2</v>
      </c>
      <c r="GO5" s="2">
        <v>146.6</v>
      </c>
      <c r="GP5" s="2">
        <v>148.1</v>
      </c>
      <c r="GQ5" s="2">
        <v>149.7</v>
      </c>
      <c r="GR5" s="2">
        <v>148.7</v>
      </c>
      <c r="GS5" s="2">
        <v>149.3</v>
      </c>
      <c r="GT5" s="2">
        <v>148.6</v>
      </c>
      <c r="GU5" s="2">
        <v>149.1</v>
      </c>
      <c r="GV5" s="2">
        <v>148.8</v>
      </c>
      <c r="GW5" s="2">
        <v>146.4</v>
      </c>
      <c r="GX5" s="2">
        <v>148.0</v>
      </c>
      <c r="GY5" s="2">
        <v>147.2</v>
      </c>
      <c r="GZ5" s="2">
        <v>143.1</v>
      </c>
      <c r="HA5" s="2">
        <v>145.8</v>
      </c>
      <c r="HB5" s="2">
        <v>147.6</v>
      </c>
      <c r="HC5" s="2">
        <v>144.9</v>
      </c>
      <c r="HD5" s="2">
        <v>149.5</v>
      </c>
      <c r="HE5" s="2">
        <v>150.8</v>
      </c>
      <c r="HF5" s="2">
        <v>146.3</v>
      </c>
      <c r="HG5" s="2">
        <v>149.2</v>
      </c>
      <c r="HH5" s="2">
        <v>151.9</v>
      </c>
      <c r="HI5" s="2">
        <v>147.8</v>
      </c>
      <c r="HJ5" s="2">
        <v>150.5</v>
      </c>
      <c r="HK5" s="2">
        <v>152.5</v>
      </c>
      <c r="HL5" s="2">
        <v>149.4</v>
      </c>
      <c r="HM5" s="2">
        <v>151.4</v>
      </c>
      <c r="HN5" s="2">
        <v>153.0</v>
      </c>
      <c r="HO5" s="2">
        <v>150.1</v>
      </c>
      <c r="HP5" s="2">
        <v>152.0</v>
      </c>
      <c r="HQ5" s="2">
        <v>154.1</v>
      </c>
      <c r="HR5" s="2">
        <v>151.1</v>
      </c>
      <c r="HS5" s="2">
        <v>153.0</v>
      </c>
      <c r="HT5" s="2">
        <v>159.5</v>
      </c>
      <c r="HU5" s="2">
        <v>156.7</v>
      </c>
      <c r="HV5" s="2">
        <v>158.5</v>
      </c>
      <c r="HW5" s="2">
        <v>163.5</v>
      </c>
      <c r="HX5" s="2">
        <v>159.6</v>
      </c>
      <c r="HY5" s="2">
        <v>162.1</v>
      </c>
      <c r="HZ5" s="2">
        <v>164.0</v>
      </c>
      <c r="IA5" s="2">
        <v>160.2</v>
      </c>
      <c r="IB5" s="2">
        <v>162.7</v>
      </c>
      <c r="IC5" s="2">
        <v>161.9</v>
      </c>
      <c r="ID5" s="2">
        <v>158.3</v>
      </c>
      <c r="IE5" s="2">
        <v>160.6</v>
      </c>
      <c r="IF5" s="2">
        <v>161.9</v>
      </c>
      <c r="IG5" s="2">
        <v>158.7</v>
      </c>
      <c r="IH5" s="2">
        <v>160.8</v>
      </c>
      <c r="II5" s="2">
        <v>161.6</v>
      </c>
      <c r="IJ5" s="2">
        <v>159.8</v>
      </c>
      <c r="IK5" s="2">
        <v>161.0</v>
      </c>
      <c r="IL5" s="2">
        <v>163.7</v>
      </c>
      <c r="IM5" s="2">
        <v>162.4</v>
      </c>
      <c r="IN5" s="2">
        <v>163.2</v>
      </c>
      <c r="IO5" s="2">
        <v>165.3</v>
      </c>
      <c r="IP5" s="2">
        <v>164.5</v>
      </c>
      <c r="IQ5" s="2">
        <v>165.0</v>
      </c>
      <c r="IR5" s="2">
        <v>167.3</v>
      </c>
      <c r="IS5" s="2">
        <v>167.6</v>
      </c>
      <c r="IT5" s="2">
        <v>167.4</v>
      </c>
      <c r="IU5" s="2">
        <v>167.5</v>
      </c>
      <c r="IV5" s="2">
        <v>167.6</v>
      </c>
      <c r="IW5" s="2">
        <v>167.5</v>
      </c>
      <c r="IX5" s="2">
        <v>166.8</v>
      </c>
      <c r="IY5" s="2">
        <v>167.5</v>
      </c>
      <c r="IZ5" s="2">
        <v>167.0</v>
      </c>
      <c r="JA5" s="2" t="s">
        <v>32</v>
      </c>
      <c r="JB5" s="2" t="s">
        <v>32</v>
      </c>
      <c r="JC5" s="2" t="s">
        <v>32</v>
      </c>
      <c r="JD5" s="2" t="s">
        <v>32</v>
      </c>
      <c r="JE5" s="2" t="s">
        <v>32</v>
      </c>
      <c r="JF5" s="2" t="s">
        <v>32</v>
      </c>
      <c r="JG5" s="2">
        <v>190.3</v>
      </c>
      <c r="JH5" s="2">
        <v>197.0</v>
      </c>
      <c r="JI5" s="2">
        <v>192.7</v>
      </c>
      <c r="JJ5" s="2">
        <v>190.3</v>
      </c>
      <c r="JK5" s="2">
        <v>197.0</v>
      </c>
      <c r="JL5" s="2">
        <v>192.7</v>
      </c>
      <c r="JM5" s="2">
        <v>187.2</v>
      </c>
      <c r="JN5" s="2">
        <v>197.8</v>
      </c>
      <c r="JO5" s="2">
        <v>190.9</v>
      </c>
      <c r="JP5" s="2">
        <v>183.9</v>
      </c>
      <c r="JQ5" s="2">
        <v>193.1</v>
      </c>
      <c r="JR5" s="2">
        <v>187.1</v>
      </c>
      <c r="JS5" s="2">
        <v>186.3</v>
      </c>
      <c r="JT5" s="2">
        <v>193.7</v>
      </c>
      <c r="JU5" s="2">
        <v>188.9</v>
      </c>
      <c r="JV5" s="2">
        <v>188.6</v>
      </c>
      <c r="JW5" s="2">
        <v>195.5</v>
      </c>
      <c r="JX5" s="2">
        <v>191.0</v>
      </c>
      <c r="JY5" s="2">
        <v>188.5</v>
      </c>
      <c r="JZ5" s="2">
        <v>195.7</v>
      </c>
      <c r="KA5" s="2">
        <v>191.0</v>
      </c>
      <c r="KB5" s="2">
        <v>187.5</v>
      </c>
      <c r="KC5" s="2">
        <v>194.8</v>
      </c>
      <c r="KD5" s="2">
        <v>190.1</v>
      </c>
      <c r="KE5" s="2">
        <v>184.0</v>
      </c>
      <c r="KF5" s="2">
        <v>191.2</v>
      </c>
      <c r="KG5" s="2">
        <v>186.5</v>
      </c>
      <c r="KH5" s="2">
        <v>189.4</v>
      </c>
      <c r="KI5" s="2">
        <v>197.5</v>
      </c>
      <c r="KJ5" s="2">
        <v>192.2</v>
      </c>
      <c r="KK5" s="2">
        <v>195.5</v>
      </c>
      <c r="KL5" s="2">
        <v>202.5</v>
      </c>
      <c r="KM5" s="2">
        <v>198.0</v>
      </c>
      <c r="KN5" s="2">
        <v>198.5</v>
      </c>
      <c r="KO5" s="2">
        <v>204.3</v>
      </c>
      <c r="KP5" s="2">
        <v>200.5</v>
      </c>
      <c r="KQ5" s="2">
        <v>200.1</v>
      </c>
      <c r="KR5" s="2">
        <v>205.5</v>
      </c>
      <c r="KS5" s="2">
        <v>202.0</v>
      </c>
      <c r="KT5" s="2">
        <v>204.5</v>
      </c>
      <c r="KU5" s="2">
        <v>210.9</v>
      </c>
      <c r="KV5" s="2">
        <v>206.8</v>
      </c>
      <c r="KW5" s="2">
        <v>202.3</v>
      </c>
      <c r="KX5" s="2">
        <v>207.4</v>
      </c>
      <c r="KY5" s="2">
        <v>204.0</v>
      </c>
      <c r="KZ5" s="2">
        <v>202.1</v>
      </c>
      <c r="LA5" s="2">
        <v>207.4</v>
      </c>
      <c r="LB5" s="2">
        <v>204.0</v>
      </c>
      <c r="LC5" s="2">
        <v>202.5</v>
      </c>
      <c r="LD5" s="2">
        <v>208.4</v>
      </c>
      <c r="LE5" s="2">
        <v>204.6</v>
      </c>
      <c r="LF5" s="2">
        <v>199.8</v>
      </c>
      <c r="LG5" s="2">
        <v>204.9</v>
      </c>
      <c r="LH5" s="2">
        <v>201.6</v>
      </c>
      <c r="LI5" s="2">
        <v>197.0</v>
      </c>
      <c r="LJ5" s="2">
        <v>202.2</v>
      </c>
      <c r="LK5" s="2">
        <v>198.8</v>
      </c>
      <c r="LL5" s="2">
        <v>196.9</v>
      </c>
      <c r="LM5" s="2">
        <v>202.1</v>
      </c>
      <c r="LN5" s="2">
        <v>198.7</v>
      </c>
      <c r="LO5" s="2">
        <v>198.1</v>
      </c>
      <c r="LP5" s="2">
        <v>205.2</v>
      </c>
      <c r="LQ5" s="2">
        <v>200.6</v>
      </c>
      <c r="LR5" s="2">
        <v>208.0</v>
      </c>
      <c r="LS5" s="2">
        <v>215.8</v>
      </c>
      <c r="LT5" s="2">
        <v>210.7</v>
      </c>
      <c r="LU5" s="2">
        <v>209.7</v>
      </c>
      <c r="LV5" s="2">
        <v>215.8</v>
      </c>
      <c r="LW5" s="2">
        <v>211.8</v>
      </c>
      <c r="LX5" s="2">
        <v>214.7</v>
      </c>
      <c r="LY5" s="2">
        <v>221.2</v>
      </c>
      <c r="LZ5" s="2">
        <v>217.0</v>
      </c>
      <c r="MA5" s="2">
        <v>217.2</v>
      </c>
      <c r="MB5" s="2">
        <v>223.4</v>
      </c>
      <c r="MC5" s="2">
        <v>219.4</v>
      </c>
      <c r="MD5" s="2">
        <v>210.8</v>
      </c>
      <c r="ME5" s="2">
        <v>217.1</v>
      </c>
      <c r="MF5" s="2">
        <v>213.0</v>
      </c>
      <c r="MG5" s="2">
        <v>204.1</v>
      </c>
      <c r="MH5" s="2">
        <v>210.9</v>
      </c>
      <c r="MI5" s="2">
        <v>206.5</v>
      </c>
      <c r="MJ5" s="2">
        <v>206.7</v>
      </c>
      <c r="MK5" s="2">
        <v>213.7</v>
      </c>
      <c r="ML5" s="2">
        <v>209.2</v>
      </c>
      <c r="MM5" s="2">
        <v>208.8</v>
      </c>
      <c r="MN5" s="2">
        <v>214.9</v>
      </c>
      <c r="MO5" s="2">
        <v>210.9</v>
      </c>
      <c r="MP5" s="2">
        <v>207.2</v>
      </c>
      <c r="MQ5" s="2">
        <v>213.4</v>
      </c>
      <c r="MR5" s="2">
        <v>209.4</v>
      </c>
      <c r="MS5" s="2">
        <v>206.9</v>
      </c>
      <c r="MT5" s="2">
        <v>212.9</v>
      </c>
      <c r="MU5" s="2">
        <v>209.0</v>
      </c>
      <c r="MV5" s="2">
        <v>208.3</v>
      </c>
      <c r="MW5" s="2">
        <v>215.2</v>
      </c>
      <c r="MX5" s="2">
        <v>210.7</v>
      </c>
      <c r="MY5" s="2">
        <v>205.2</v>
      </c>
      <c r="MZ5" s="2">
        <v>212.2</v>
      </c>
      <c r="NA5" s="2">
        <v>207.7</v>
      </c>
      <c r="NB5" s="2">
        <v>205.2</v>
      </c>
      <c r="NC5" s="2">
        <v>212.2</v>
      </c>
      <c r="ND5" s="2">
        <v>207.7</v>
      </c>
      <c r="NE5" s="2">
        <v>206.9</v>
      </c>
      <c r="NF5" s="2">
        <v>213.7</v>
      </c>
      <c r="NG5" s="2">
        <v>209.3</v>
      </c>
      <c r="NH5" s="2">
        <v>211.5</v>
      </c>
      <c r="NI5" s="2">
        <v>219.4</v>
      </c>
      <c r="NJ5" s="2">
        <v>214.3</v>
      </c>
    </row>
    <row r="6">
      <c r="A6" s="2" t="s">
        <v>5</v>
      </c>
      <c r="B6" s="2" t="str">
        <f>VLOOKUP(A6, NOTES!C7:D32, 2,0)</f>
        <v>Food</v>
      </c>
      <c r="C6" s="2">
        <v>108.1</v>
      </c>
      <c r="D6" s="2">
        <v>113.0</v>
      </c>
      <c r="E6" s="2">
        <v>110.0</v>
      </c>
      <c r="F6" s="2">
        <v>110.2</v>
      </c>
      <c r="G6" s="2">
        <v>116.9</v>
      </c>
      <c r="H6" s="2">
        <v>112.8</v>
      </c>
      <c r="I6" s="2">
        <v>109.9</v>
      </c>
      <c r="J6" s="2">
        <v>113.2</v>
      </c>
      <c r="K6" s="2">
        <v>111.2</v>
      </c>
      <c r="L6" s="2">
        <v>106.9</v>
      </c>
      <c r="M6" s="2">
        <v>106.0</v>
      </c>
      <c r="N6" s="2">
        <v>106.6</v>
      </c>
      <c r="O6" s="2">
        <v>105.9</v>
      </c>
      <c r="P6" s="2">
        <v>102.7</v>
      </c>
      <c r="Q6" s="2">
        <v>104.7</v>
      </c>
      <c r="R6" s="2">
        <v>108.1</v>
      </c>
      <c r="S6" s="2">
        <v>112.5</v>
      </c>
      <c r="T6" s="2">
        <v>109.8</v>
      </c>
      <c r="U6" s="2">
        <v>110.5</v>
      </c>
      <c r="V6" s="2">
        <v>114.0</v>
      </c>
      <c r="W6" s="2">
        <v>111.9</v>
      </c>
      <c r="X6" s="2">
        <v>111.1</v>
      </c>
      <c r="Y6" s="2">
        <v>112.7</v>
      </c>
      <c r="Z6" s="2">
        <v>111.7</v>
      </c>
      <c r="AA6" s="2">
        <v>111.7</v>
      </c>
      <c r="AB6" s="2">
        <v>113.2</v>
      </c>
      <c r="AC6" s="2">
        <v>112.3</v>
      </c>
      <c r="AD6" s="2">
        <v>112.6</v>
      </c>
      <c r="AE6" s="2">
        <v>114.5</v>
      </c>
      <c r="AF6" s="2">
        <v>113.3</v>
      </c>
      <c r="AG6" s="2">
        <v>116.2</v>
      </c>
      <c r="AH6" s="2">
        <v>122.6</v>
      </c>
      <c r="AI6" s="2">
        <v>118.7</v>
      </c>
      <c r="AJ6" s="2">
        <v>120.4</v>
      </c>
      <c r="AK6" s="2">
        <v>128.5</v>
      </c>
      <c r="AL6" s="2">
        <v>123.5</v>
      </c>
      <c r="AM6" s="2">
        <v>120.5</v>
      </c>
      <c r="AN6" s="2">
        <v>129.9</v>
      </c>
      <c r="AO6" s="2">
        <v>124.1</v>
      </c>
      <c r="AP6" s="2">
        <v>121.2</v>
      </c>
      <c r="AQ6" s="2">
        <v>124.5</v>
      </c>
      <c r="AR6" s="2">
        <v>122.5</v>
      </c>
      <c r="AS6" s="2">
        <v>120.7</v>
      </c>
      <c r="AT6" s="2">
        <v>121.5</v>
      </c>
      <c r="AU6" s="2">
        <v>121.0</v>
      </c>
      <c r="AV6" s="2">
        <v>118.1</v>
      </c>
      <c r="AW6" s="2">
        <v>113.3</v>
      </c>
      <c r="AX6" s="2">
        <v>116.2</v>
      </c>
      <c r="AY6" s="2">
        <v>116.9</v>
      </c>
      <c r="AZ6" s="2">
        <v>114.2</v>
      </c>
      <c r="BA6" s="2">
        <v>115.9</v>
      </c>
      <c r="BB6" s="2">
        <v>116.1</v>
      </c>
      <c r="BC6" s="2">
        <v>115.4</v>
      </c>
      <c r="BD6" s="2">
        <v>115.8</v>
      </c>
      <c r="BE6" s="2">
        <v>117.7</v>
      </c>
      <c r="BF6" s="2">
        <v>118.0</v>
      </c>
      <c r="BG6" s="2">
        <v>117.8</v>
      </c>
      <c r="BH6" s="2">
        <v>117.8</v>
      </c>
      <c r="BI6" s="2">
        <v>116.5</v>
      </c>
      <c r="BJ6" s="2">
        <v>117.3</v>
      </c>
      <c r="BK6" s="2">
        <v>117.8</v>
      </c>
      <c r="BL6" s="2">
        <v>116.4</v>
      </c>
      <c r="BM6" s="2">
        <v>117.3</v>
      </c>
      <c r="BN6" s="2">
        <v>118.3</v>
      </c>
      <c r="BO6" s="2">
        <v>117.8</v>
      </c>
      <c r="BP6" s="2">
        <v>118.1</v>
      </c>
      <c r="BQ6" s="2">
        <v>119.9</v>
      </c>
      <c r="BR6" s="2">
        <v>122.7</v>
      </c>
      <c r="BS6" s="2">
        <v>121.0</v>
      </c>
      <c r="BT6" s="2">
        <v>121.8</v>
      </c>
      <c r="BU6" s="2">
        <v>126.3</v>
      </c>
      <c r="BV6" s="2">
        <v>123.5</v>
      </c>
      <c r="BW6" s="2">
        <v>122.1</v>
      </c>
      <c r="BX6" s="2">
        <v>126.6</v>
      </c>
      <c r="BY6" s="2">
        <v>123.8</v>
      </c>
      <c r="BZ6" s="2">
        <v>122.1</v>
      </c>
      <c r="CA6" s="2">
        <v>119.5</v>
      </c>
      <c r="CB6" s="2">
        <v>121.1</v>
      </c>
      <c r="CC6" s="2">
        <v>118.9</v>
      </c>
      <c r="CD6" s="2">
        <v>113.5</v>
      </c>
      <c r="CE6" s="2">
        <v>116.8</v>
      </c>
      <c r="CF6" s="2">
        <v>117.2</v>
      </c>
      <c r="CG6" s="2">
        <v>110.0</v>
      </c>
      <c r="CH6" s="2">
        <v>114.4</v>
      </c>
      <c r="CI6" s="2">
        <v>117.3</v>
      </c>
      <c r="CJ6" s="2">
        <v>111.3</v>
      </c>
      <c r="CK6" s="2">
        <v>115.0</v>
      </c>
      <c r="CL6" s="2">
        <v>122.1</v>
      </c>
      <c r="CM6" s="2">
        <v>120.9</v>
      </c>
      <c r="CN6" s="2">
        <v>121.6</v>
      </c>
      <c r="CO6" s="2">
        <v>122.0</v>
      </c>
      <c r="CP6" s="2">
        <v>119.5</v>
      </c>
      <c r="CQ6" s="2">
        <v>121.0</v>
      </c>
      <c r="CR6" s="2">
        <v>121.3</v>
      </c>
      <c r="CS6" s="2">
        <v>118.1</v>
      </c>
      <c r="CT6" s="2">
        <v>120.1</v>
      </c>
      <c r="CU6" s="2">
        <v>120.7</v>
      </c>
      <c r="CV6" s="2">
        <v>115.6</v>
      </c>
      <c r="CW6" s="2">
        <v>118.7</v>
      </c>
      <c r="CX6" s="2">
        <v>120.8</v>
      </c>
      <c r="CY6" s="2">
        <v>115.9</v>
      </c>
      <c r="CZ6" s="2">
        <v>118.9</v>
      </c>
      <c r="DA6" s="2">
        <v>121.7</v>
      </c>
      <c r="DB6" s="2">
        <v>121.5</v>
      </c>
      <c r="DC6" s="2">
        <v>121.6</v>
      </c>
      <c r="DD6" s="2">
        <v>123.3</v>
      </c>
      <c r="DE6" s="2">
        <v>127.1</v>
      </c>
      <c r="DF6" s="2">
        <v>124.8</v>
      </c>
      <c r="DG6" s="2">
        <v>126.5</v>
      </c>
      <c r="DH6" s="2">
        <v>132.0</v>
      </c>
      <c r="DI6" s="2">
        <v>128.6</v>
      </c>
      <c r="DJ6" s="2">
        <v>127.7</v>
      </c>
      <c r="DK6" s="2">
        <v>130.3</v>
      </c>
      <c r="DL6" s="2">
        <v>128.7</v>
      </c>
      <c r="DM6" s="2">
        <v>125.1</v>
      </c>
      <c r="DN6" s="2">
        <v>123.7</v>
      </c>
      <c r="DO6" s="2">
        <v>124.6</v>
      </c>
      <c r="DP6" s="2">
        <v>123.4</v>
      </c>
      <c r="DQ6" s="2">
        <v>119.9</v>
      </c>
      <c r="DR6" s="2">
        <v>122.0</v>
      </c>
      <c r="DS6" s="2">
        <v>124.4</v>
      </c>
      <c r="DT6" s="2">
        <v>127.0</v>
      </c>
      <c r="DU6" s="2">
        <v>125.4</v>
      </c>
      <c r="DV6" s="2">
        <v>126.6</v>
      </c>
      <c r="DW6" s="2">
        <v>130.9</v>
      </c>
      <c r="DX6" s="2">
        <v>128.3</v>
      </c>
      <c r="DY6" s="2">
        <v>129.6</v>
      </c>
      <c r="DZ6" s="2">
        <v>136.6</v>
      </c>
      <c r="EA6" s="2">
        <v>132.3</v>
      </c>
      <c r="EB6" s="2">
        <v>130.3</v>
      </c>
      <c r="EC6" s="2">
        <v>133.7</v>
      </c>
      <c r="ED6" s="2">
        <v>131.6</v>
      </c>
      <c r="EE6" s="2">
        <v>130.5</v>
      </c>
      <c r="EF6" s="2">
        <v>130.6</v>
      </c>
      <c r="EG6" s="2">
        <v>130.5</v>
      </c>
      <c r="EH6" s="2">
        <v>130.1</v>
      </c>
      <c r="EI6" s="2">
        <v>130.3</v>
      </c>
      <c r="EJ6" s="2">
        <v>130.2</v>
      </c>
      <c r="EK6" s="2">
        <v>130.6</v>
      </c>
      <c r="EL6" s="2">
        <v>134.1</v>
      </c>
      <c r="EM6" s="2">
        <v>132.0</v>
      </c>
      <c r="EN6" s="2">
        <v>131.6</v>
      </c>
      <c r="EO6" s="2">
        <v>134.9</v>
      </c>
      <c r="EP6" s="2">
        <v>132.9</v>
      </c>
      <c r="EQ6" s="2">
        <v>131.9</v>
      </c>
      <c r="ER6" s="2">
        <v>132.6</v>
      </c>
      <c r="ES6" s="2">
        <v>132.2</v>
      </c>
      <c r="ET6" s="2">
        <v>129.3</v>
      </c>
      <c r="EU6" s="2">
        <v>129.3</v>
      </c>
      <c r="EV6" s="2">
        <v>129.3</v>
      </c>
      <c r="EW6" s="2">
        <v>128.8</v>
      </c>
      <c r="EX6" s="2">
        <v>128.4</v>
      </c>
      <c r="EY6" s="2">
        <v>128.6</v>
      </c>
      <c r="EZ6" s="2">
        <v>127.1</v>
      </c>
      <c r="FA6" s="2">
        <v>124.5</v>
      </c>
      <c r="FB6" s="2">
        <v>126.1</v>
      </c>
      <c r="FC6" s="2">
        <v>126.8</v>
      </c>
      <c r="FD6" s="2">
        <v>125.6</v>
      </c>
      <c r="FE6" s="2">
        <v>126.3</v>
      </c>
      <c r="FF6" s="2">
        <v>128.0</v>
      </c>
      <c r="FG6" s="2">
        <v>128.3</v>
      </c>
      <c r="FH6" s="2">
        <v>128.1</v>
      </c>
      <c r="FI6" s="2">
        <v>129.8</v>
      </c>
      <c r="FJ6" s="2">
        <v>129.4</v>
      </c>
      <c r="FK6" s="2">
        <v>129.6</v>
      </c>
      <c r="FL6" s="2">
        <v>130.0</v>
      </c>
      <c r="FM6" s="2">
        <v>128.3</v>
      </c>
      <c r="FN6" s="2">
        <v>129.3</v>
      </c>
      <c r="FO6" s="2">
        <v>130.5</v>
      </c>
      <c r="FP6" s="2">
        <v>129.7</v>
      </c>
      <c r="FQ6" s="2">
        <v>130.2</v>
      </c>
      <c r="FR6" s="2">
        <v>131.0</v>
      </c>
      <c r="FS6" s="2">
        <v>131.4</v>
      </c>
      <c r="FT6" s="2">
        <v>131.2</v>
      </c>
      <c r="FU6" s="2">
        <v>140.5</v>
      </c>
      <c r="FV6" s="2">
        <v>146.7</v>
      </c>
      <c r="FW6" s="2">
        <v>142.9</v>
      </c>
      <c r="FX6" s="2">
        <v>144.8</v>
      </c>
      <c r="FY6" s="2">
        <v>145.9</v>
      </c>
      <c r="FZ6" s="2">
        <v>145.2</v>
      </c>
      <c r="GA6" s="2">
        <v>143.8</v>
      </c>
      <c r="GB6" s="2">
        <v>143.6</v>
      </c>
      <c r="GC6" s="2">
        <v>143.7</v>
      </c>
      <c r="GD6" s="2">
        <v>140.6</v>
      </c>
      <c r="GE6" s="2">
        <v>139.9</v>
      </c>
      <c r="GF6" s="2">
        <v>140.3</v>
      </c>
      <c r="GG6" s="2">
        <v>140.0</v>
      </c>
      <c r="GH6" s="2">
        <v>135.5</v>
      </c>
      <c r="GI6" s="2">
        <v>138.3</v>
      </c>
      <c r="GJ6" s="2">
        <v>135.9</v>
      </c>
      <c r="GK6" s="2">
        <v>130.8</v>
      </c>
      <c r="GL6" s="2">
        <v>133.9</v>
      </c>
      <c r="GM6" s="2">
        <v>135.5</v>
      </c>
      <c r="GN6" s="2">
        <v>130.5</v>
      </c>
      <c r="GO6" s="2">
        <v>133.6</v>
      </c>
      <c r="GP6" s="2">
        <v>136.7</v>
      </c>
      <c r="GQ6" s="2">
        <v>133.9</v>
      </c>
      <c r="GR6" s="2">
        <v>135.6</v>
      </c>
      <c r="GS6" s="2">
        <v>139.3</v>
      </c>
      <c r="GT6" s="2">
        <v>139.1</v>
      </c>
      <c r="GU6" s="2">
        <v>139.2</v>
      </c>
      <c r="GV6" s="2">
        <v>139.1</v>
      </c>
      <c r="GW6" s="2">
        <v>136.6</v>
      </c>
      <c r="GX6" s="2">
        <v>138.1</v>
      </c>
      <c r="GY6" s="2">
        <v>136.6</v>
      </c>
      <c r="GZ6" s="2">
        <v>132.8</v>
      </c>
      <c r="HA6" s="2">
        <v>135.1</v>
      </c>
      <c r="HB6" s="2">
        <v>134.6</v>
      </c>
      <c r="HC6" s="2">
        <v>133.5</v>
      </c>
      <c r="HD6" s="2">
        <v>137.3</v>
      </c>
      <c r="HE6" s="2">
        <v>136.7</v>
      </c>
      <c r="HF6" s="2">
        <v>137.8</v>
      </c>
      <c r="HG6" s="2">
        <v>137.1</v>
      </c>
      <c r="HH6" s="2">
        <v>137.4</v>
      </c>
      <c r="HI6" s="2">
        <v>141.1</v>
      </c>
      <c r="HJ6" s="2">
        <v>138.8</v>
      </c>
      <c r="HK6" s="2">
        <v>138.2</v>
      </c>
      <c r="HL6" s="2">
        <v>143.5</v>
      </c>
      <c r="HM6" s="2">
        <v>140.2</v>
      </c>
      <c r="HN6" s="2">
        <v>139.1</v>
      </c>
      <c r="HO6" s="2">
        <v>145.3</v>
      </c>
      <c r="HP6" s="2">
        <v>141.5</v>
      </c>
      <c r="HQ6" s="2">
        <v>138.7</v>
      </c>
      <c r="HR6" s="2">
        <v>142.9</v>
      </c>
      <c r="HS6" s="2">
        <v>140.3</v>
      </c>
      <c r="HT6" s="2">
        <v>134.5</v>
      </c>
      <c r="HU6" s="2">
        <v>138.3</v>
      </c>
      <c r="HV6" s="2">
        <v>136.0</v>
      </c>
      <c r="HW6" s="2">
        <v>136.2</v>
      </c>
      <c r="HX6" s="2">
        <v>140.4</v>
      </c>
      <c r="HY6" s="2">
        <v>137.8</v>
      </c>
      <c r="HZ6" s="2">
        <v>138.4</v>
      </c>
      <c r="IA6" s="2">
        <v>142.5</v>
      </c>
      <c r="IB6" s="2">
        <v>140.0</v>
      </c>
      <c r="IC6" s="2">
        <v>137.1</v>
      </c>
      <c r="ID6" s="2">
        <v>140.8</v>
      </c>
      <c r="IE6" s="2">
        <v>138.5</v>
      </c>
      <c r="IF6" s="2">
        <v>138.3</v>
      </c>
      <c r="IG6" s="2">
        <v>141.6</v>
      </c>
      <c r="IH6" s="2">
        <v>139.6</v>
      </c>
      <c r="II6" s="2">
        <v>141.2</v>
      </c>
      <c r="IJ6" s="2">
        <v>144.7</v>
      </c>
      <c r="IK6" s="2">
        <v>142.6</v>
      </c>
      <c r="IL6" s="2">
        <v>143.8</v>
      </c>
      <c r="IM6" s="2">
        <v>148.4</v>
      </c>
      <c r="IN6" s="2">
        <v>145.6</v>
      </c>
      <c r="IO6" s="2">
        <v>149.5</v>
      </c>
      <c r="IP6" s="2">
        <v>153.7</v>
      </c>
      <c r="IQ6" s="2">
        <v>151.1</v>
      </c>
      <c r="IR6" s="2">
        <v>153.5</v>
      </c>
      <c r="IS6" s="2">
        <v>157.0</v>
      </c>
      <c r="IT6" s="2">
        <v>154.9</v>
      </c>
      <c r="IU6" s="2">
        <v>150.9</v>
      </c>
      <c r="IV6" s="2">
        <v>153.1</v>
      </c>
      <c r="IW6" s="2">
        <v>151.8</v>
      </c>
      <c r="IX6" s="2">
        <v>147.6</v>
      </c>
      <c r="IY6" s="2">
        <v>148.9</v>
      </c>
      <c r="IZ6" s="2">
        <v>148.1</v>
      </c>
      <c r="JA6" s="2">
        <v>146.9</v>
      </c>
      <c r="JB6" s="2">
        <v>151.9</v>
      </c>
      <c r="JC6" s="2">
        <v>148.8</v>
      </c>
      <c r="JD6" s="2" t="s">
        <v>32</v>
      </c>
      <c r="JE6" s="2" t="s">
        <v>32</v>
      </c>
      <c r="JF6" s="2" t="s">
        <v>32</v>
      </c>
      <c r="JG6" s="2">
        <v>149.4</v>
      </c>
      <c r="JH6" s="2">
        <v>154.6</v>
      </c>
      <c r="JI6" s="2">
        <v>151.4</v>
      </c>
      <c r="JJ6" s="2">
        <v>149.4</v>
      </c>
      <c r="JK6" s="2">
        <v>154.6</v>
      </c>
      <c r="JL6" s="2">
        <v>151.4</v>
      </c>
      <c r="JM6" s="2">
        <v>148.4</v>
      </c>
      <c r="JN6" s="2">
        <v>154.5</v>
      </c>
      <c r="JO6" s="2">
        <v>150.8</v>
      </c>
      <c r="JP6" s="2">
        <v>149.5</v>
      </c>
      <c r="JQ6" s="2">
        <v>157.3</v>
      </c>
      <c r="JR6" s="2">
        <v>152.5</v>
      </c>
      <c r="JS6" s="2">
        <v>159.2</v>
      </c>
      <c r="JT6" s="2">
        <v>164.8</v>
      </c>
      <c r="JU6" s="2">
        <v>161.4</v>
      </c>
      <c r="JV6" s="2">
        <v>171.6</v>
      </c>
      <c r="JW6" s="2">
        <v>176.9</v>
      </c>
      <c r="JX6" s="2">
        <v>173.6</v>
      </c>
      <c r="JY6" s="2">
        <v>173.4</v>
      </c>
      <c r="JZ6" s="2">
        <v>178.3</v>
      </c>
      <c r="KA6" s="2">
        <v>175.3</v>
      </c>
      <c r="KB6" s="2">
        <v>173.4</v>
      </c>
      <c r="KC6" s="2">
        <v>178.4</v>
      </c>
      <c r="KD6" s="2">
        <v>175.3</v>
      </c>
      <c r="KE6" s="2">
        <v>168.0</v>
      </c>
      <c r="KF6" s="2">
        <v>169.9</v>
      </c>
      <c r="KG6" s="2">
        <v>168.7</v>
      </c>
      <c r="KH6" s="2">
        <v>163.2</v>
      </c>
      <c r="KI6" s="2">
        <v>164.7</v>
      </c>
      <c r="KJ6" s="2">
        <v>163.8</v>
      </c>
      <c r="KK6" s="2">
        <v>163.4</v>
      </c>
      <c r="KL6" s="2">
        <v>166.4</v>
      </c>
      <c r="KM6" s="2">
        <v>164.6</v>
      </c>
      <c r="KN6" s="2">
        <v>168.6</v>
      </c>
      <c r="KO6" s="2">
        <v>173.0</v>
      </c>
      <c r="KP6" s="2">
        <v>170.3</v>
      </c>
      <c r="KQ6" s="2">
        <v>179.3</v>
      </c>
      <c r="KR6" s="2">
        <v>182.8</v>
      </c>
      <c r="KS6" s="2">
        <v>180.7</v>
      </c>
      <c r="KT6" s="2">
        <v>180.4</v>
      </c>
      <c r="KU6" s="2">
        <v>185.0</v>
      </c>
      <c r="KV6" s="2">
        <v>182.2</v>
      </c>
      <c r="KW6" s="2">
        <v>176.5</v>
      </c>
      <c r="KX6" s="2">
        <v>174.1</v>
      </c>
      <c r="KY6" s="2">
        <v>172.8</v>
      </c>
      <c r="KZ6" s="2">
        <v>172.0</v>
      </c>
      <c r="LA6" s="2">
        <v>174.1</v>
      </c>
      <c r="LB6" s="2">
        <v>172.8</v>
      </c>
      <c r="LC6" s="2">
        <v>170.1</v>
      </c>
      <c r="LD6" s="2">
        <v>173.0</v>
      </c>
      <c r="LE6" s="2">
        <v>171.2</v>
      </c>
      <c r="LF6" s="2">
        <v>171.5</v>
      </c>
      <c r="LG6" s="2">
        <v>175.4</v>
      </c>
      <c r="LH6" s="2">
        <v>173.0</v>
      </c>
      <c r="LI6" s="2">
        <v>176.5</v>
      </c>
      <c r="LJ6" s="2">
        <v>180.0</v>
      </c>
      <c r="LK6" s="2">
        <v>177.9</v>
      </c>
      <c r="LL6" s="2">
        <v>178.0</v>
      </c>
      <c r="LM6" s="2">
        <v>180.1</v>
      </c>
      <c r="LN6" s="2">
        <v>178.8</v>
      </c>
      <c r="LO6" s="2">
        <v>175.5</v>
      </c>
      <c r="LP6" s="2">
        <v>176.4</v>
      </c>
      <c r="LQ6" s="2">
        <v>175.8</v>
      </c>
      <c r="LR6" s="2">
        <v>167.9</v>
      </c>
      <c r="LS6" s="2">
        <v>167.7</v>
      </c>
      <c r="LT6" s="2">
        <v>167.8</v>
      </c>
      <c r="LU6" s="2">
        <v>164.5</v>
      </c>
      <c r="LV6" s="2">
        <v>164.6</v>
      </c>
      <c r="LW6" s="2">
        <v>164.5</v>
      </c>
      <c r="LX6" s="2">
        <v>161.4</v>
      </c>
      <c r="LY6" s="2">
        <v>164.1</v>
      </c>
      <c r="LZ6" s="2">
        <v>162.4</v>
      </c>
      <c r="MA6" s="2">
        <v>169.6</v>
      </c>
      <c r="MB6" s="2">
        <v>172.8</v>
      </c>
      <c r="MC6" s="2">
        <v>170.8</v>
      </c>
      <c r="MD6" s="2">
        <v>174.3</v>
      </c>
      <c r="ME6" s="2">
        <v>176.6</v>
      </c>
      <c r="MF6" s="2">
        <v>175.2</v>
      </c>
      <c r="MG6" s="2">
        <v>168.3</v>
      </c>
      <c r="MH6" s="2">
        <v>170.6</v>
      </c>
      <c r="MI6" s="2">
        <v>169.2</v>
      </c>
      <c r="MJ6" s="2">
        <v>169.0</v>
      </c>
      <c r="MK6" s="2">
        <v>170.9</v>
      </c>
      <c r="ML6" s="2">
        <v>169.7</v>
      </c>
      <c r="MM6" s="2">
        <v>170.3</v>
      </c>
      <c r="MN6" s="2">
        <v>171.9</v>
      </c>
      <c r="MO6" s="2">
        <v>170.9</v>
      </c>
      <c r="MP6" s="2">
        <v>180.2</v>
      </c>
      <c r="MQ6" s="2">
        <v>183.2</v>
      </c>
      <c r="MR6" s="2">
        <v>181.4</v>
      </c>
      <c r="MS6" s="2">
        <v>189.1</v>
      </c>
      <c r="MT6" s="2">
        <v>191.9</v>
      </c>
      <c r="MU6" s="2">
        <v>190.2</v>
      </c>
      <c r="MV6" s="2">
        <v>192.9</v>
      </c>
      <c r="MW6" s="2">
        <v>197.0</v>
      </c>
      <c r="MX6" s="2">
        <v>194.5</v>
      </c>
      <c r="MY6" s="2">
        <v>173.9</v>
      </c>
      <c r="MZ6" s="2">
        <v>177.2</v>
      </c>
      <c r="NA6" s="2">
        <v>175.2</v>
      </c>
      <c r="NB6" s="2">
        <v>173.9</v>
      </c>
      <c r="NC6" s="2">
        <v>177.2</v>
      </c>
      <c r="ND6" s="2">
        <v>175.2</v>
      </c>
      <c r="NE6" s="2">
        <v>167.9</v>
      </c>
      <c r="NF6" s="2">
        <v>172.4</v>
      </c>
      <c r="NG6" s="2">
        <v>169.6</v>
      </c>
      <c r="NH6" s="2">
        <v>171.0</v>
      </c>
      <c r="NI6" s="2">
        <v>176.7</v>
      </c>
      <c r="NJ6" s="2">
        <v>173.2</v>
      </c>
    </row>
    <row r="7">
      <c r="A7" s="2" t="s">
        <v>6</v>
      </c>
      <c r="B7" s="2" t="str">
        <f>VLOOKUP(A7, NOTES!C8:D33, 2,0)</f>
        <v>Food</v>
      </c>
      <c r="C7" s="2">
        <v>104.9</v>
      </c>
      <c r="D7" s="2">
        <v>103.6</v>
      </c>
      <c r="E7" s="2">
        <v>104.4</v>
      </c>
      <c r="F7" s="2">
        <v>105.4</v>
      </c>
      <c r="G7" s="2">
        <v>104.0</v>
      </c>
      <c r="H7" s="2">
        <v>104.9</v>
      </c>
      <c r="I7" s="2">
        <v>105.6</v>
      </c>
      <c r="J7" s="2">
        <v>104.3</v>
      </c>
      <c r="K7" s="2">
        <v>105.1</v>
      </c>
      <c r="L7" s="2">
        <v>106.3</v>
      </c>
      <c r="M7" s="2">
        <v>104.7</v>
      </c>
      <c r="N7" s="2">
        <v>105.7</v>
      </c>
      <c r="O7" s="2">
        <v>107.5</v>
      </c>
      <c r="P7" s="2">
        <v>105.5</v>
      </c>
      <c r="Q7" s="2">
        <v>106.8</v>
      </c>
      <c r="R7" s="2">
        <v>108.3</v>
      </c>
      <c r="S7" s="2">
        <v>107.3</v>
      </c>
      <c r="T7" s="2">
        <v>107.9</v>
      </c>
      <c r="U7" s="2">
        <v>109.3</v>
      </c>
      <c r="V7" s="2">
        <v>108.3</v>
      </c>
      <c r="W7" s="2">
        <v>108.9</v>
      </c>
      <c r="X7" s="2">
        <v>110.0</v>
      </c>
      <c r="Y7" s="2">
        <v>108.9</v>
      </c>
      <c r="Z7" s="2">
        <v>109.6</v>
      </c>
      <c r="AA7" s="2">
        <v>111.0</v>
      </c>
      <c r="AB7" s="2">
        <v>109.6</v>
      </c>
      <c r="AC7" s="2">
        <v>110.5</v>
      </c>
      <c r="AD7" s="2">
        <v>111.7</v>
      </c>
      <c r="AE7" s="2">
        <v>110.4</v>
      </c>
      <c r="AF7" s="2">
        <v>111.2</v>
      </c>
      <c r="AG7" s="2">
        <v>112.8</v>
      </c>
      <c r="AH7" s="2">
        <v>112.0</v>
      </c>
      <c r="AI7" s="2">
        <v>112.5</v>
      </c>
      <c r="AJ7" s="2">
        <v>113.8</v>
      </c>
      <c r="AK7" s="2">
        <v>112.8</v>
      </c>
      <c r="AL7" s="2">
        <v>113.4</v>
      </c>
      <c r="AM7" s="2">
        <v>114.4</v>
      </c>
      <c r="AN7" s="2">
        <v>113.6</v>
      </c>
      <c r="AO7" s="2">
        <v>114.1</v>
      </c>
      <c r="AP7" s="2">
        <v>115.0</v>
      </c>
      <c r="AQ7" s="2">
        <v>115.2</v>
      </c>
      <c r="AR7" s="2">
        <v>115.1</v>
      </c>
      <c r="AS7" s="2">
        <v>116.1</v>
      </c>
      <c r="AT7" s="2">
        <v>116.2</v>
      </c>
      <c r="AU7" s="2">
        <v>116.1</v>
      </c>
      <c r="AV7" s="2">
        <v>117.0</v>
      </c>
      <c r="AW7" s="2">
        <v>117.0</v>
      </c>
      <c r="AX7" s="2">
        <v>117.0</v>
      </c>
      <c r="AY7" s="2">
        <v>118.0</v>
      </c>
      <c r="AZ7" s="2">
        <v>119.1</v>
      </c>
      <c r="BA7" s="2">
        <v>118.4</v>
      </c>
      <c r="BB7" s="2">
        <v>119.3</v>
      </c>
      <c r="BC7" s="2">
        <v>120.4</v>
      </c>
      <c r="BD7" s="2">
        <v>119.7</v>
      </c>
      <c r="BE7" s="2">
        <v>120.6</v>
      </c>
      <c r="BF7" s="2">
        <v>121.6</v>
      </c>
      <c r="BG7" s="2">
        <v>121.0</v>
      </c>
      <c r="BH7" s="2">
        <v>121.9</v>
      </c>
      <c r="BI7" s="2">
        <v>122.2</v>
      </c>
      <c r="BJ7" s="2">
        <v>122.0</v>
      </c>
      <c r="BK7" s="2">
        <v>122.7</v>
      </c>
      <c r="BL7" s="2">
        <v>122.7</v>
      </c>
      <c r="BM7" s="2">
        <v>122.7</v>
      </c>
      <c r="BN7" s="2">
        <v>123.2</v>
      </c>
      <c r="BO7" s="2">
        <v>123.1</v>
      </c>
      <c r="BP7" s="2">
        <v>123.2</v>
      </c>
      <c r="BQ7" s="2">
        <v>124.0</v>
      </c>
      <c r="BR7" s="2">
        <v>124.6</v>
      </c>
      <c r="BS7" s="2">
        <v>124.2</v>
      </c>
      <c r="BT7" s="2">
        <v>124.2</v>
      </c>
      <c r="BU7" s="2">
        <v>124.9</v>
      </c>
      <c r="BV7" s="2">
        <v>124.5</v>
      </c>
      <c r="BW7" s="2">
        <v>124.9</v>
      </c>
      <c r="BX7" s="2">
        <v>125.2</v>
      </c>
      <c r="BY7" s="2">
        <v>125.0</v>
      </c>
      <c r="BZ7" s="2">
        <v>125.8</v>
      </c>
      <c r="CA7" s="2">
        <v>125.6</v>
      </c>
      <c r="CB7" s="2">
        <v>125.7</v>
      </c>
      <c r="CC7" s="2">
        <v>126.0</v>
      </c>
      <c r="CD7" s="2">
        <v>125.9</v>
      </c>
      <c r="CE7" s="2">
        <v>126.0</v>
      </c>
      <c r="CF7" s="2">
        <v>126.8</v>
      </c>
      <c r="CG7" s="2">
        <v>126.3</v>
      </c>
      <c r="CH7" s="2">
        <v>126.6</v>
      </c>
      <c r="CI7" s="2">
        <v>127.7</v>
      </c>
      <c r="CJ7" s="2">
        <v>126.6</v>
      </c>
      <c r="CK7" s="2">
        <v>127.3</v>
      </c>
      <c r="CL7" s="2">
        <v>128.7</v>
      </c>
      <c r="CM7" s="2">
        <v>127.3</v>
      </c>
      <c r="CN7" s="2">
        <v>128.2</v>
      </c>
      <c r="CO7" s="2">
        <v>128.7</v>
      </c>
      <c r="CP7" s="2">
        <v>127.7</v>
      </c>
      <c r="CQ7" s="2">
        <v>128.3</v>
      </c>
      <c r="CR7" s="2">
        <v>128.8</v>
      </c>
      <c r="CS7" s="2">
        <v>128.0</v>
      </c>
      <c r="CT7" s="2">
        <v>128.5</v>
      </c>
      <c r="CU7" s="2">
        <v>129.2</v>
      </c>
      <c r="CV7" s="2">
        <v>128.3</v>
      </c>
      <c r="CW7" s="2">
        <v>128.9</v>
      </c>
      <c r="CX7" s="2">
        <v>129.4</v>
      </c>
      <c r="CY7" s="2">
        <v>128.5</v>
      </c>
      <c r="CZ7" s="2">
        <v>129.1</v>
      </c>
      <c r="DA7" s="2">
        <v>129.5</v>
      </c>
      <c r="DB7" s="2">
        <v>128.6</v>
      </c>
      <c r="DC7" s="2">
        <v>129.2</v>
      </c>
      <c r="DD7" s="2">
        <v>129.8</v>
      </c>
      <c r="DE7" s="2">
        <v>128.6</v>
      </c>
      <c r="DF7" s="2">
        <v>129.4</v>
      </c>
      <c r="DG7" s="2">
        <v>130.3</v>
      </c>
      <c r="DH7" s="2">
        <v>129.2</v>
      </c>
      <c r="DI7" s="2">
        <v>129.9</v>
      </c>
      <c r="DJ7" s="2">
        <v>130.7</v>
      </c>
      <c r="DK7" s="2">
        <v>129.6</v>
      </c>
      <c r="DL7" s="2">
        <v>130.3</v>
      </c>
      <c r="DM7" s="2">
        <v>130.5</v>
      </c>
      <c r="DN7" s="2">
        <v>129.7</v>
      </c>
      <c r="DO7" s="2">
        <v>130.2</v>
      </c>
      <c r="DP7" s="2">
        <v>131.3</v>
      </c>
      <c r="DQ7" s="2">
        <v>130.2</v>
      </c>
      <c r="DR7" s="2">
        <v>130.9</v>
      </c>
      <c r="DS7" s="2">
        <v>132.4</v>
      </c>
      <c r="DT7" s="2">
        <v>130.4</v>
      </c>
      <c r="DU7" s="2">
        <v>131.7</v>
      </c>
      <c r="DV7" s="2">
        <v>133.6</v>
      </c>
      <c r="DW7" s="2">
        <v>131.0</v>
      </c>
      <c r="DX7" s="2">
        <v>132.6</v>
      </c>
      <c r="DY7" s="2">
        <v>134.5</v>
      </c>
      <c r="DZ7" s="2">
        <v>131.8</v>
      </c>
      <c r="EA7" s="2">
        <v>133.5</v>
      </c>
      <c r="EB7" s="2">
        <v>135.3</v>
      </c>
      <c r="EC7" s="2">
        <v>132.2</v>
      </c>
      <c r="ED7" s="2">
        <v>134.1</v>
      </c>
      <c r="EE7" s="2">
        <v>135.5</v>
      </c>
      <c r="EF7" s="2">
        <v>132.6</v>
      </c>
      <c r="EG7" s="2">
        <v>134.4</v>
      </c>
      <c r="EH7" s="2">
        <v>136.0</v>
      </c>
      <c r="EI7" s="2">
        <v>132.7</v>
      </c>
      <c r="EJ7" s="2">
        <v>134.8</v>
      </c>
      <c r="EK7" s="2">
        <v>136.2</v>
      </c>
      <c r="EL7" s="2">
        <v>132.9</v>
      </c>
      <c r="EM7" s="2">
        <v>135.0</v>
      </c>
      <c r="EN7" s="2">
        <v>136.3</v>
      </c>
      <c r="EO7" s="2">
        <v>133.1</v>
      </c>
      <c r="EP7" s="2">
        <v>135.1</v>
      </c>
      <c r="EQ7" s="2">
        <v>136.7</v>
      </c>
      <c r="ER7" s="2">
        <v>133.1</v>
      </c>
      <c r="ES7" s="2">
        <v>135.4</v>
      </c>
      <c r="ET7" s="2">
        <v>137.2</v>
      </c>
      <c r="EU7" s="2">
        <v>133.5</v>
      </c>
      <c r="EV7" s="2">
        <v>135.8</v>
      </c>
      <c r="EW7" s="2">
        <v>137.2</v>
      </c>
      <c r="EX7" s="2">
        <v>134.9</v>
      </c>
      <c r="EY7" s="2">
        <v>136.3</v>
      </c>
      <c r="EZ7" s="2">
        <v>137.7</v>
      </c>
      <c r="FA7" s="2">
        <v>136.3</v>
      </c>
      <c r="FB7" s="2">
        <v>137.2</v>
      </c>
      <c r="FC7" s="2">
        <v>138.2</v>
      </c>
      <c r="FD7" s="2">
        <v>136.8</v>
      </c>
      <c r="FE7" s="2">
        <v>137.7</v>
      </c>
      <c r="FF7" s="2">
        <v>138.6</v>
      </c>
      <c r="FG7" s="2">
        <v>137.3</v>
      </c>
      <c r="FH7" s="2">
        <v>138.1</v>
      </c>
      <c r="FI7" s="2">
        <v>139.0</v>
      </c>
      <c r="FJ7" s="2">
        <v>137.7</v>
      </c>
      <c r="FK7" s="2">
        <v>138.5</v>
      </c>
      <c r="FL7" s="2">
        <v>139.4</v>
      </c>
      <c r="FM7" s="2">
        <v>138.3</v>
      </c>
      <c r="FN7" s="2">
        <v>139.0</v>
      </c>
      <c r="FO7" s="2">
        <v>140.2</v>
      </c>
      <c r="FP7" s="2">
        <v>138.7</v>
      </c>
      <c r="FQ7" s="2">
        <v>139.6</v>
      </c>
      <c r="FR7" s="2">
        <v>141.5</v>
      </c>
      <c r="FS7" s="2">
        <v>139.1</v>
      </c>
      <c r="FT7" s="2">
        <v>140.6</v>
      </c>
      <c r="FU7" s="2">
        <v>141.5</v>
      </c>
      <c r="FV7" s="2">
        <v>139.5</v>
      </c>
      <c r="FW7" s="2">
        <v>140.8</v>
      </c>
      <c r="FX7" s="2">
        <v>141.9</v>
      </c>
      <c r="FY7" s="2">
        <v>139.5</v>
      </c>
      <c r="FZ7" s="2">
        <v>141.0</v>
      </c>
      <c r="GA7" s="2">
        <v>142.0</v>
      </c>
      <c r="GB7" s="2">
        <v>139.6</v>
      </c>
      <c r="GC7" s="2">
        <v>141.1</v>
      </c>
      <c r="GD7" s="2">
        <v>141.5</v>
      </c>
      <c r="GE7" s="2">
        <v>139.9</v>
      </c>
      <c r="GF7" s="2">
        <v>140.9</v>
      </c>
      <c r="GG7" s="2">
        <v>142.0</v>
      </c>
      <c r="GH7" s="2">
        <v>139.9</v>
      </c>
      <c r="GI7" s="2">
        <v>141.2</v>
      </c>
      <c r="GJ7" s="2">
        <v>142.4</v>
      </c>
      <c r="GK7" s="2">
        <v>140.3</v>
      </c>
      <c r="GL7" s="2">
        <v>141.6</v>
      </c>
      <c r="GM7" s="2">
        <v>142.9</v>
      </c>
      <c r="GN7" s="2">
        <v>140.7</v>
      </c>
      <c r="GO7" s="2">
        <v>142.1</v>
      </c>
      <c r="GP7" s="2">
        <v>143.2</v>
      </c>
      <c r="GQ7" s="2">
        <v>140.8</v>
      </c>
      <c r="GR7" s="2">
        <v>142.3</v>
      </c>
      <c r="GS7" s="2">
        <v>143.4</v>
      </c>
      <c r="GT7" s="2">
        <v>141.0</v>
      </c>
      <c r="GU7" s="2">
        <v>142.5</v>
      </c>
      <c r="GV7" s="2">
        <v>143.5</v>
      </c>
      <c r="GW7" s="2">
        <v>141.2</v>
      </c>
      <c r="GX7" s="2">
        <v>142.6</v>
      </c>
      <c r="GY7" s="2">
        <v>143.7</v>
      </c>
      <c r="GZ7" s="2">
        <v>141.5</v>
      </c>
      <c r="HA7" s="2">
        <v>142.9</v>
      </c>
      <c r="HB7" s="2">
        <v>141.9</v>
      </c>
      <c r="HC7" s="2">
        <v>141.5</v>
      </c>
      <c r="HD7" s="2">
        <v>141.9</v>
      </c>
      <c r="HE7" s="2">
        <v>141.9</v>
      </c>
      <c r="HF7" s="2">
        <v>141.6</v>
      </c>
      <c r="HG7" s="2">
        <v>141.8</v>
      </c>
      <c r="HH7" s="2">
        <v>142.4</v>
      </c>
      <c r="HI7" s="2">
        <v>141.6</v>
      </c>
      <c r="HJ7" s="2">
        <v>142.1</v>
      </c>
      <c r="HK7" s="2">
        <v>142.4</v>
      </c>
      <c r="HL7" s="2">
        <v>141.7</v>
      </c>
      <c r="HM7" s="2">
        <v>142.1</v>
      </c>
      <c r="HN7" s="2">
        <v>142.5</v>
      </c>
      <c r="HO7" s="2">
        <v>141.7</v>
      </c>
      <c r="HP7" s="2">
        <v>142.2</v>
      </c>
      <c r="HQ7" s="2">
        <v>142.5</v>
      </c>
      <c r="HR7" s="2">
        <v>141.9</v>
      </c>
      <c r="HS7" s="2">
        <v>142.3</v>
      </c>
      <c r="HT7" s="2">
        <v>142.6</v>
      </c>
      <c r="HU7" s="2">
        <v>142.4</v>
      </c>
      <c r="HV7" s="2">
        <v>142.5</v>
      </c>
      <c r="HW7" s="2">
        <v>143.2</v>
      </c>
      <c r="HX7" s="2">
        <v>143.4</v>
      </c>
      <c r="HY7" s="2">
        <v>143.3</v>
      </c>
      <c r="HZ7" s="2">
        <v>143.9</v>
      </c>
      <c r="IA7" s="2">
        <v>144.1</v>
      </c>
      <c r="IB7" s="2">
        <v>144.0</v>
      </c>
      <c r="IC7" s="2">
        <v>144.6</v>
      </c>
      <c r="ID7" s="2">
        <v>144.9</v>
      </c>
      <c r="IE7" s="2">
        <v>144.7</v>
      </c>
      <c r="IF7" s="2">
        <v>145.7</v>
      </c>
      <c r="IG7" s="2">
        <v>144.9</v>
      </c>
      <c r="IH7" s="2">
        <v>145.4</v>
      </c>
      <c r="II7" s="2">
        <v>146.5</v>
      </c>
      <c r="IJ7" s="2">
        <v>145.6</v>
      </c>
      <c r="IK7" s="2">
        <v>146.2</v>
      </c>
      <c r="IL7" s="2">
        <v>147.1</v>
      </c>
      <c r="IM7" s="2">
        <v>145.9</v>
      </c>
      <c r="IN7" s="2">
        <v>146.7</v>
      </c>
      <c r="IO7" s="2">
        <v>148.7</v>
      </c>
      <c r="IP7" s="2">
        <v>147.5</v>
      </c>
      <c r="IQ7" s="2">
        <v>148.3</v>
      </c>
      <c r="IR7" s="2">
        <v>150.5</v>
      </c>
      <c r="IS7" s="2">
        <v>149.3</v>
      </c>
      <c r="IT7" s="2">
        <v>150.1</v>
      </c>
      <c r="IU7" s="2">
        <v>150.9</v>
      </c>
      <c r="IV7" s="2">
        <v>150.7</v>
      </c>
      <c r="IW7" s="2">
        <v>150.8</v>
      </c>
      <c r="IX7" s="2">
        <v>151.7</v>
      </c>
      <c r="IY7" s="2">
        <v>151.1</v>
      </c>
      <c r="IZ7" s="2">
        <v>151.5</v>
      </c>
      <c r="JA7" s="2">
        <v>155.6</v>
      </c>
      <c r="JB7" s="2">
        <v>155.5</v>
      </c>
      <c r="JC7" s="2">
        <v>155.6</v>
      </c>
      <c r="JD7" s="2" t="s">
        <v>32</v>
      </c>
      <c r="JE7" s="2" t="s">
        <v>32</v>
      </c>
      <c r="JF7" s="2" t="s">
        <v>32</v>
      </c>
      <c r="JG7" s="2">
        <v>153.3</v>
      </c>
      <c r="JH7" s="2">
        <v>153.4</v>
      </c>
      <c r="JI7" s="2">
        <v>153.3</v>
      </c>
      <c r="JJ7" s="2">
        <v>153.3</v>
      </c>
      <c r="JK7" s="2">
        <v>153.4</v>
      </c>
      <c r="JL7" s="2">
        <v>153.3</v>
      </c>
      <c r="JM7" s="2">
        <v>153.3</v>
      </c>
      <c r="JN7" s="2">
        <v>153.4</v>
      </c>
      <c r="JO7" s="2">
        <v>153.3</v>
      </c>
      <c r="JP7" s="2">
        <v>153.4</v>
      </c>
      <c r="JQ7" s="2">
        <v>153.9</v>
      </c>
      <c r="JR7" s="2">
        <v>153.6</v>
      </c>
      <c r="JS7" s="2">
        <v>153.6</v>
      </c>
      <c r="JT7" s="2">
        <v>153.7</v>
      </c>
      <c r="JU7" s="2">
        <v>153.6</v>
      </c>
      <c r="JV7" s="2">
        <v>153.8</v>
      </c>
      <c r="JW7" s="2">
        <v>153.9</v>
      </c>
      <c r="JX7" s="2">
        <v>153.8</v>
      </c>
      <c r="JY7" s="2">
        <v>154.0</v>
      </c>
      <c r="JZ7" s="2">
        <v>154.2</v>
      </c>
      <c r="KA7" s="2">
        <v>154.1</v>
      </c>
      <c r="KB7" s="2">
        <v>154.0</v>
      </c>
      <c r="KC7" s="2">
        <v>154.4</v>
      </c>
      <c r="KD7" s="2">
        <v>154.1</v>
      </c>
      <c r="KE7" s="2">
        <v>154.4</v>
      </c>
      <c r="KF7" s="2">
        <v>155.1</v>
      </c>
      <c r="KG7" s="2">
        <v>154.7</v>
      </c>
      <c r="KH7" s="2">
        <v>154.5</v>
      </c>
      <c r="KI7" s="2">
        <v>155.6</v>
      </c>
      <c r="KJ7" s="2">
        <v>154.9</v>
      </c>
      <c r="KK7" s="2">
        <v>155.0</v>
      </c>
      <c r="KL7" s="2">
        <v>156.0</v>
      </c>
      <c r="KM7" s="2">
        <v>155.4</v>
      </c>
      <c r="KN7" s="2">
        <v>155.8</v>
      </c>
      <c r="KO7" s="2">
        <v>156.5</v>
      </c>
      <c r="KP7" s="2">
        <v>156.1</v>
      </c>
      <c r="KQ7" s="2">
        <v>156.1</v>
      </c>
      <c r="KR7" s="2">
        <v>156.5</v>
      </c>
      <c r="KS7" s="2">
        <v>156.2</v>
      </c>
      <c r="KT7" s="2">
        <v>157.1</v>
      </c>
      <c r="KU7" s="2">
        <v>158.2</v>
      </c>
      <c r="KV7" s="2">
        <v>157.5</v>
      </c>
      <c r="KW7" s="2">
        <v>157.5</v>
      </c>
      <c r="KX7" s="2">
        <v>159.2</v>
      </c>
      <c r="KY7" s="2">
        <v>158.4</v>
      </c>
      <c r="KZ7" s="2">
        <v>158.0</v>
      </c>
      <c r="LA7" s="2">
        <v>159.1</v>
      </c>
      <c r="LB7" s="2">
        <v>158.4</v>
      </c>
      <c r="LC7" s="2">
        <v>158.4</v>
      </c>
      <c r="LD7" s="2">
        <v>159.2</v>
      </c>
      <c r="LE7" s="2">
        <v>158.7</v>
      </c>
      <c r="LF7" s="2">
        <v>159.1</v>
      </c>
      <c r="LG7" s="2">
        <v>159.6</v>
      </c>
      <c r="LH7" s="2">
        <v>159.3</v>
      </c>
      <c r="LI7" s="2">
        <v>159.8</v>
      </c>
      <c r="LJ7" s="2">
        <v>160.0</v>
      </c>
      <c r="LK7" s="2">
        <v>159.9</v>
      </c>
      <c r="LL7" s="2">
        <v>160.5</v>
      </c>
      <c r="LM7" s="2">
        <v>160.4</v>
      </c>
      <c r="LN7" s="2">
        <v>160.5</v>
      </c>
      <c r="LO7" s="2">
        <v>160.7</v>
      </c>
      <c r="LP7" s="2">
        <v>160.6</v>
      </c>
      <c r="LQ7" s="2">
        <v>160.7</v>
      </c>
      <c r="LR7" s="2">
        <v>162.0</v>
      </c>
      <c r="LS7" s="2">
        <v>162.6</v>
      </c>
      <c r="LT7" s="2">
        <v>162.2</v>
      </c>
      <c r="LU7" s="2">
        <v>163.8</v>
      </c>
      <c r="LV7" s="2">
        <v>164.2</v>
      </c>
      <c r="LW7" s="2">
        <v>163.9</v>
      </c>
      <c r="LX7" s="2">
        <v>164.6</v>
      </c>
      <c r="LY7" s="2">
        <v>165.4</v>
      </c>
      <c r="LZ7" s="2">
        <v>164.9</v>
      </c>
      <c r="MA7" s="2">
        <v>165.4</v>
      </c>
      <c r="MB7" s="2">
        <v>166.4</v>
      </c>
      <c r="MC7" s="2">
        <v>165.8</v>
      </c>
      <c r="MD7" s="2">
        <v>166.3</v>
      </c>
      <c r="ME7" s="2">
        <v>167.1</v>
      </c>
      <c r="MF7" s="2">
        <v>166.6</v>
      </c>
      <c r="MG7" s="2">
        <v>167.9</v>
      </c>
      <c r="MH7" s="2">
        <v>168.4</v>
      </c>
      <c r="MI7" s="2">
        <v>168.1</v>
      </c>
      <c r="MJ7" s="2">
        <v>169.5</v>
      </c>
      <c r="MK7" s="2">
        <v>170.1</v>
      </c>
      <c r="ML7" s="2">
        <v>169.7</v>
      </c>
      <c r="MM7" s="2">
        <v>170.9</v>
      </c>
      <c r="MN7" s="2">
        <v>171.0</v>
      </c>
      <c r="MO7" s="2">
        <v>170.9</v>
      </c>
      <c r="MP7" s="2">
        <v>172.3</v>
      </c>
      <c r="MQ7" s="2">
        <v>172.3</v>
      </c>
      <c r="MR7" s="2">
        <v>172.3</v>
      </c>
      <c r="MS7" s="2">
        <v>173.4</v>
      </c>
      <c r="MT7" s="2">
        <v>173.9</v>
      </c>
      <c r="MU7" s="2">
        <v>173.6</v>
      </c>
      <c r="MV7" s="2">
        <v>174.3</v>
      </c>
      <c r="MW7" s="2">
        <v>175.2</v>
      </c>
      <c r="MX7" s="2">
        <v>174.6</v>
      </c>
      <c r="MY7" s="2">
        <v>177.0</v>
      </c>
      <c r="MZ7" s="2">
        <v>177.9</v>
      </c>
      <c r="NA7" s="2">
        <v>177.3</v>
      </c>
      <c r="NB7" s="2">
        <v>177.0</v>
      </c>
      <c r="NC7" s="2">
        <v>177.9</v>
      </c>
      <c r="ND7" s="2">
        <v>177.3</v>
      </c>
      <c r="NE7" s="2">
        <v>178.2</v>
      </c>
      <c r="NF7" s="2">
        <v>178.8</v>
      </c>
      <c r="NG7" s="2">
        <v>178.4</v>
      </c>
      <c r="NH7" s="2">
        <v>179.6</v>
      </c>
      <c r="NI7" s="2">
        <v>179.4</v>
      </c>
      <c r="NJ7" s="2">
        <v>179.5</v>
      </c>
    </row>
    <row r="8">
      <c r="A8" s="2" t="s">
        <v>7</v>
      </c>
      <c r="B8" s="2" t="str">
        <f>VLOOKUP(A8, NOTES!C9:D34, 2,0)</f>
        <v>Food</v>
      </c>
      <c r="C8" s="2">
        <v>106.1</v>
      </c>
      <c r="D8" s="2">
        <v>103.4</v>
      </c>
      <c r="E8" s="2">
        <v>105.1</v>
      </c>
      <c r="F8" s="2">
        <v>106.7</v>
      </c>
      <c r="G8" s="2">
        <v>103.5</v>
      </c>
      <c r="H8" s="2">
        <v>105.5</v>
      </c>
      <c r="I8" s="2">
        <v>106.2</v>
      </c>
      <c r="J8" s="2">
        <v>102.7</v>
      </c>
      <c r="K8" s="2">
        <v>104.9</v>
      </c>
      <c r="L8" s="2">
        <v>105.7</v>
      </c>
      <c r="M8" s="2">
        <v>102.1</v>
      </c>
      <c r="N8" s="2">
        <v>104.4</v>
      </c>
      <c r="O8" s="2">
        <v>105.3</v>
      </c>
      <c r="P8" s="2">
        <v>101.5</v>
      </c>
      <c r="Q8" s="2">
        <v>103.9</v>
      </c>
      <c r="R8" s="2">
        <v>105.9</v>
      </c>
      <c r="S8" s="2">
        <v>101.3</v>
      </c>
      <c r="T8" s="2">
        <v>104.2</v>
      </c>
      <c r="U8" s="2">
        <v>106.2</v>
      </c>
      <c r="V8" s="2">
        <v>101.1</v>
      </c>
      <c r="W8" s="2">
        <v>104.3</v>
      </c>
      <c r="X8" s="2">
        <v>106.4</v>
      </c>
      <c r="Y8" s="2">
        <v>101.1</v>
      </c>
      <c r="Z8" s="2">
        <v>104.5</v>
      </c>
      <c r="AA8" s="2">
        <v>107.4</v>
      </c>
      <c r="AB8" s="2">
        <v>101.7</v>
      </c>
      <c r="AC8" s="2">
        <v>105.3</v>
      </c>
      <c r="AD8" s="2">
        <v>107.7</v>
      </c>
      <c r="AE8" s="2">
        <v>102.3</v>
      </c>
      <c r="AF8" s="2">
        <v>105.7</v>
      </c>
      <c r="AG8" s="2">
        <v>108.9</v>
      </c>
      <c r="AH8" s="2">
        <v>103.2</v>
      </c>
      <c r="AI8" s="2">
        <v>106.8</v>
      </c>
      <c r="AJ8" s="2">
        <v>109.5</v>
      </c>
      <c r="AK8" s="2">
        <v>103.4</v>
      </c>
      <c r="AL8" s="2">
        <v>107.3</v>
      </c>
      <c r="AM8" s="2">
        <v>109.0</v>
      </c>
      <c r="AN8" s="2">
        <v>102.9</v>
      </c>
      <c r="AO8" s="2">
        <v>106.8</v>
      </c>
      <c r="AP8" s="2">
        <v>109.0</v>
      </c>
      <c r="AQ8" s="2">
        <v>102.5</v>
      </c>
      <c r="AR8" s="2">
        <v>106.6</v>
      </c>
      <c r="AS8" s="2">
        <v>109.3</v>
      </c>
      <c r="AT8" s="2">
        <v>102.8</v>
      </c>
      <c r="AU8" s="2">
        <v>106.9</v>
      </c>
      <c r="AV8" s="2">
        <v>109.7</v>
      </c>
      <c r="AW8" s="2">
        <v>103.1</v>
      </c>
      <c r="AX8" s="2">
        <v>107.3</v>
      </c>
      <c r="AY8" s="2">
        <v>110.1</v>
      </c>
      <c r="AZ8" s="2">
        <v>103.5</v>
      </c>
      <c r="BA8" s="2">
        <v>107.7</v>
      </c>
      <c r="BB8" s="2">
        <v>110.3</v>
      </c>
      <c r="BC8" s="2">
        <v>103.4</v>
      </c>
      <c r="BD8" s="2">
        <v>107.8</v>
      </c>
      <c r="BE8" s="2">
        <v>110.4</v>
      </c>
      <c r="BF8" s="2">
        <v>103.5</v>
      </c>
      <c r="BG8" s="2">
        <v>107.9</v>
      </c>
      <c r="BH8" s="2">
        <v>110.6</v>
      </c>
      <c r="BI8" s="2">
        <v>103.6</v>
      </c>
      <c r="BJ8" s="2">
        <v>108.0</v>
      </c>
      <c r="BK8" s="2">
        <v>110.4</v>
      </c>
      <c r="BL8" s="2">
        <v>103.5</v>
      </c>
      <c r="BM8" s="2">
        <v>107.9</v>
      </c>
      <c r="BN8" s="2">
        <v>110.5</v>
      </c>
      <c r="BO8" s="2">
        <v>103.5</v>
      </c>
      <c r="BP8" s="2">
        <v>107.9</v>
      </c>
      <c r="BQ8" s="2">
        <v>110.5</v>
      </c>
      <c r="BR8" s="2">
        <v>103.2</v>
      </c>
      <c r="BS8" s="2">
        <v>107.8</v>
      </c>
      <c r="BT8" s="2">
        <v>110.2</v>
      </c>
      <c r="BU8" s="2">
        <v>103.0</v>
      </c>
      <c r="BV8" s="2">
        <v>107.6</v>
      </c>
      <c r="BW8" s="2">
        <v>111.0</v>
      </c>
      <c r="BX8" s="2">
        <v>104.3</v>
      </c>
      <c r="BY8" s="2">
        <v>108.5</v>
      </c>
      <c r="BZ8" s="2">
        <v>111.5</v>
      </c>
      <c r="CA8" s="2">
        <v>104.9</v>
      </c>
      <c r="CB8" s="2">
        <v>109.1</v>
      </c>
      <c r="CC8" s="2">
        <v>111.8</v>
      </c>
      <c r="CD8" s="2">
        <v>104.8</v>
      </c>
      <c r="CE8" s="2">
        <v>109.2</v>
      </c>
      <c r="CF8" s="2">
        <v>111.9</v>
      </c>
      <c r="CG8" s="2">
        <v>104.5</v>
      </c>
      <c r="CH8" s="2">
        <v>109.2</v>
      </c>
      <c r="CI8" s="2">
        <v>112.5</v>
      </c>
      <c r="CJ8" s="2">
        <v>105.2</v>
      </c>
      <c r="CK8" s="2">
        <v>109.8</v>
      </c>
      <c r="CL8" s="2">
        <v>114.1</v>
      </c>
      <c r="CM8" s="2">
        <v>106.0</v>
      </c>
      <c r="CN8" s="2">
        <v>111.1</v>
      </c>
      <c r="CO8" s="2">
        <v>113.5</v>
      </c>
      <c r="CP8" s="2">
        <v>106.3</v>
      </c>
      <c r="CQ8" s="2">
        <v>110.9</v>
      </c>
      <c r="CR8" s="2">
        <v>114.0</v>
      </c>
      <c r="CS8" s="2">
        <v>106.8</v>
      </c>
      <c r="CT8" s="2">
        <v>111.4</v>
      </c>
      <c r="CU8" s="2">
        <v>114.7</v>
      </c>
      <c r="CV8" s="2">
        <v>107.0</v>
      </c>
      <c r="CW8" s="2">
        <v>111.9</v>
      </c>
      <c r="CX8" s="2">
        <v>115.8</v>
      </c>
      <c r="CY8" s="2">
        <v>109.0</v>
      </c>
      <c r="CZ8" s="2">
        <v>113.3</v>
      </c>
      <c r="DA8" s="2">
        <v>117.8</v>
      </c>
      <c r="DB8" s="2">
        <v>110.0</v>
      </c>
      <c r="DC8" s="2">
        <v>114.9</v>
      </c>
      <c r="DD8" s="2">
        <v>118.3</v>
      </c>
      <c r="DE8" s="2">
        <v>110.0</v>
      </c>
      <c r="DF8" s="2">
        <v>115.3</v>
      </c>
      <c r="DG8" s="2">
        <v>118.9</v>
      </c>
      <c r="DH8" s="2">
        <v>109.7</v>
      </c>
      <c r="DI8" s="2">
        <v>115.5</v>
      </c>
      <c r="DJ8" s="2">
        <v>118.5</v>
      </c>
      <c r="DK8" s="2">
        <v>108.4</v>
      </c>
      <c r="DL8" s="2">
        <v>114.8</v>
      </c>
      <c r="DM8" s="2">
        <v>118.3</v>
      </c>
      <c r="DN8" s="2">
        <v>107.9</v>
      </c>
      <c r="DO8" s="2">
        <v>114.5</v>
      </c>
      <c r="DP8" s="2">
        <v>118.2</v>
      </c>
      <c r="DQ8" s="2">
        <v>108.9</v>
      </c>
      <c r="DR8" s="2">
        <v>114.8</v>
      </c>
      <c r="DS8" s="2">
        <v>118.2</v>
      </c>
      <c r="DT8" s="2">
        <v>109.6</v>
      </c>
      <c r="DU8" s="2">
        <v>115.0</v>
      </c>
      <c r="DV8" s="2">
        <v>118.6</v>
      </c>
      <c r="DW8" s="2">
        <v>110.2</v>
      </c>
      <c r="DX8" s="2">
        <v>115.5</v>
      </c>
      <c r="DY8" s="2">
        <v>119.5</v>
      </c>
      <c r="DZ8" s="2">
        <v>111.0</v>
      </c>
      <c r="EA8" s="2">
        <v>116.4</v>
      </c>
      <c r="EB8" s="2">
        <v>119.9</v>
      </c>
      <c r="EC8" s="2">
        <v>111.8</v>
      </c>
      <c r="ED8" s="2">
        <v>116.9</v>
      </c>
      <c r="EE8" s="2">
        <v>120.2</v>
      </c>
      <c r="EF8" s="2">
        <v>111.9</v>
      </c>
      <c r="EG8" s="2">
        <v>117.2</v>
      </c>
      <c r="EH8" s="2">
        <v>120.8</v>
      </c>
      <c r="EI8" s="2">
        <v>112.5</v>
      </c>
      <c r="EJ8" s="2">
        <v>117.8</v>
      </c>
      <c r="EK8" s="2">
        <v>121.1</v>
      </c>
      <c r="EL8" s="2">
        <v>112.6</v>
      </c>
      <c r="EM8" s="2">
        <v>118.0</v>
      </c>
      <c r="EN8" s="2">
        <v>121.6</v>
      </c>
      <c r="EO8" s="2">
        <v>113.5</v>
      </c>
      <c r="EP8" s="2">
        <v>118.6</v>
      </c>
      <c r="EQ8" s="2">
        <v>122.0</v>
      </c>
      <c r="ER8" s="2">
        <v>114.0</v>
      </c>
      <c r="ES8" s="2">
        <v>119.1</v>
      </c>
      <c r="ET8" s="2">
        <v>122.1</v>
      </c>
      <c r="EU8" s="2">
        <v>114.3</v>
      </c>
      <c r="EV8" s="2">
        <v>119.2</v>
      </c>
      <c r="EW8" s="2">
        <v>121.6</v>
      </c>
      <c r="EX8" s="2">
        <v>114.0</v>
      </c>
      <c r="EY8" s="2">
        <v>118.8</v>
      </c>
      <c r="EZ8" s="2">
        <v>121.3</v>
      </c>
      <c r="FA8" s="2">
        <v>113.5</v>
      </c>
      <c r="FB8" s="2">
        <v>118.4</v>
      </c>
      <c r="FC8" s="2">
        <v>120.8</v>
      </c>
      <c r="FD8" s="2">
        <v>113.4</v>
      </c>
      <c r="FE8" s="2">
        <v>118.1</v>
      </c>
      <c r="FF8" s="2">
        <v>120.9</v>
      </c>
      <c r="FG8" s="2">
        <v>113.5</v>
      </c>
      <c r="FH8" s="2">
        <v>118.2</v>
      </c>
      <c r="FI8" s="2">
        <v>120.9</v>
      </c>
      <c r="FJ8" s="2">
        <v>113.4</v>
      </c>
      <c r="FK8" s="2">
        <v>118.1</v>
      </c>
      <c r="FL8" s="2">
        <v>120.5</v>
      </c>
      <c r="FM8" s="2">
        <v>114.1</v>
      </c>
      <c r="FN8" s="2">
        <v>118.1</v>
      </c>
      <c r="FO8" s="2">
        <v>120.7</v>
      </c>
      <c r="FP8" s="2">
        <v>114.5</v>
      </c>
      <c r="FQ8" s="2">
        <v>118.4</v>
      </c>
      <c r="FR8" s="2">
        <v>121.4</v>
      </c>
      <c r="FS8" s="2">
        <v>114.9</v>
      </c>
      <c r="FT8" s="2">
        <v>119.0</v>
      </c>
      <c r="FU8" s="2">
        <v>121.6</v>
      </c>
      <c r="FV8" s="2">
        <v>115.2</v>
      </c>
      <c r="FW8" s="2">
        <v>119.2</v>
      </c>
      <c r="FX8" s="2">
        <v>123.1</v>
      </c>
      <c r="FY8" s="2">
        <v>115.9</v>
      </c>
      <c r="FZ8" s="2">
        <v>120.5</v>
      </c>
      <c r="GA8" s="2">
        <v>123.2</v>
      </c>
      <c r="GB8" s="2">
        <v>116.4</v>
      </c>
      <c r="GC8" s="2">
        <v>120.7</v>
      </c>
      <c r="GD8" s="2">
        <v>122.9</v>
      </c>
      <c r="GE8" s="2">
        <v>116.2</v>
      </c>
      <c r="GF8" s="2">
        <v>120.4</v>
      </c>
      <c r="GG8" s="2">
        <v>123.2</v>
      </c>
      <c r="GH8" s="2">
        <v>116.5</v>
      </c>
      <c r="GI8" s="2">
        <v>120.7</v>
      </c>
      <c r="GJ8" s="2">
        <v>123.5</v>
      </c>
      <c r="GK8" s="2">
        <v>116.6</v>
      </c>
      <c r="GL8" s="2">
        <v>121.0</v>
      </c>
      <c r="GM8" s="2">
        <v>123.6</v>
      </c>
      <c r="GN8" s="2">
        <v>116.4</v>
      </c>
      <c r="GO8" s="2">
        <v>121.0</v>
      </c>
      <c r="GP8" s="2">
        <v>124.0</v>
      </c>
      <c r="GQ8" s="2">
        <v>116.6</v>
      </c>
      <c r="GR8" s="2">
        <v>121.3</v>
      </c>
      <c r="GS8" s="2">
        <v>124.1</v>
      </c>
      <c r="GT8" s="2">
        <v>116.7</v>
      </c>
      <c r="GU8" s="2">
        <v>121.4</v>
      </c>
      <c r="GV8" s="2">
        <v>125.0</v>
      </c>
      <c r="GW8" s="2">
        <v>117.4</v>
      </c>
      <c r="GX8" s="2">
        <v>122.2</v>
      </c>
      <c r="GY8" s="2">
        <v>124.6</v>
      </c>
      <c r="GZ8" s="2">
        <v>117.8</v>
      </c>
      <c r="HA8" s="2">
        <v>122.1</v>
      </c>
      <c r="HB8" s="2">
        <v>123.5</v>
      </c>
      <c r="HC8" s="2">
        <v>118.0</v>
      </c>
      <c r="HD8" s="2">
        <v>121.1</v>
      </c>
      <c r="HE8" s="2">
        <v>122.8</v>
      </c>
      <c r="HF8" s="2">
        <v>118.1</v>
      </c>
      <c r="HG8" s="2">
        <v>121.1</v>
      </c>
      <c r="HH8" s="2">
        <v>124.2</v>
      </c>
      <c r="HI8" s="2">
        <v>118.1</v>
      </c>
      <c r="HJ8" s="2">
        <v>122.0</v>
      </c>
      <c r="HK8" s="2">
        <v>123.9</v>
      </c>
      <c r="HL8" s="2">
        <v>118.1</v>
      </c>
      <c r="HM8" s="2">
        <v>121.8</v>
      </c>
      <c r="HN8" s="2">
        <v>124.1</v>
      </c>
      <c r="HO8" s="2">
        <v>118.4</v>
      </c>
      <c r="HP8" s="2">
        <v>122.0</v>
      </c>
      <c r="HQ8" s="2">
        <v>124.1</v>
      </c>
      <c r="HR8" s="2">
        <v>118.4</v>
      </c>
      <c r="HS8" s="2">
        <v>122.0</v>
      </c>
      <c r="HT8" s="2">
        <v>124.0</v>
      </c>
      <c r="HU8" s="2">
        <v>118.6</v>
      </c>
      <c r="HV8" s="2">
        <v>122.0</v>
      </c>
      <c r="HW8" s="2">
        <v>124.3</v>
      </c>
      <c r="HX8" s="2">
        <v>118.6</v>
      </c>
      <c r="HY8" s="2">
        <v>122.2</v>
      </c>
      <c r="HZ8" s="2">
        <v>124.4</v>
      </c>
      <c r="IA8" s="2">
        <v>119.3</v>
      </c>
      <c r="IB8" s="2">
        <v>122.5</v>
      </c>
      <c r="IC8" s="2">
        <v>124.7</v>
      </c>
      <c r="ID8" s="2">
        <v>119.9</v>
      </c>
      <c r="IE8" s="2">
        <v>122.9</v>
      </c>
      <c r="IF8" s="2">
        <v>125.1</v>
      </c>
      <c r="IG8" s="2">
        <v>120.8</v>
      </c>
      <c r="IH8" s="2">
        <v>123.5</v>
      </c>
      <c r="II8" s="2">
        <v>125.6</v>
      </c>
      <c r="IJ8" s="2">
        <v>121.1</v>
      </c>
      <c r="IK8" s="2">
        <v>123.9</v>
      </c>
      <c r="IL8" s="2">
        <v>126.0</v>
      </c>
      <c r="IM8" s="2">
        <v>121.5</v>
      </c>
      <c r="IN8" s="2">
        <v>124.3</v>
      </c>
      <c r="IO8" s="2">
        <v>127.5</v>
      </c>
      <c r="IP8" s="2">
        <v>122.7</v>
      </c>
      <c r="IQ8" s="2">
        <v>125.7</v>
      </c>
      <c r="IR8" s="2">
        <v>132.0</v>
      </c>
      <c r="IS8" s="2">
        <v>126.3</v>
      </c>
      <c r="IT8" s="2">
        <v>129.9</v>
      </c>
      <c r="IU8" s="2">
        <v>133.7</v>
      </c>
      <c r="IV8" s="2">
        <v>127.4</v>
      </c>
      <c r="IW8" s="2">
        <v>131.4</v>
      </c>
      <c r="IX8" s="2">
        <v>133.3</v>
      </c>
      <c r="IY8" s="2">
        <v>127.5</v>
      </c>
      <c r="IZ8" s="2">
        <v>131.2</v>
      </c>
      <c r="JA8" s="2">
        <v>137.1</v>
      </c>
      <c r="JB8" s="2">
        <v>131.6</v>
      </c>
      <c r="JC8" s="2">
        <v>135.1</v>
      </c>
      <c r="JD8" s="2" t="s">
        <v>32</v>
      </c>
      <c r="JE8" s="2" t="s">
        <v>32</v>
      </c>
      <c r="JF8" s="2" t="s">
        <v>32</v>
      </c>
      <c r="JG8" s="2">
        <v>138.2</v>
      </c>
      <c r="JH8" s="2">
        <v>132.9</v>
      </c>
      <c r="JI8" s="2">
        <v>136.3</v>
      </c>
      <c r="JJ8" s="2">
        <v>138.2</v>
      </c>
      <c r="JK8" s="2">
        <v>132.9</v>
      </c>
      <c r="JL8" s="2">
        <v>136.3</v>
      </c>
      <c r="JM8" s="2">
        <v>139.8</v>
      </c>
      <c r="JN8" s="2">
        <v>133.4</v>
      </c>
      <c r="JO8" s="2">
        <v>137.4</v>
      </c>
      <c r="JP8" s="2">
        <v>140.4</v>
      </c>
      <c r="JQ8" s="2">
        <v>134.4</v>
      </c>
      <c r="JR8" s="2">
        <v>138.2</v>
      </c>
      <c r="JS8" s="2">
        <v>142.6</v>
      </c>
      <c r="JT8" s="2">
        <v>135.7</v>
      </c>
      <c r="JU8" s="2">
        <v>140.1</v>
      </c>
      <c r="JV8" s="2">
        <v>145.4</v>
      </c>
      <c r="JW8" s="2">
        <v>138.0</v>
      </c>
      <c r="JX8" s="2">
        <v>142.7</v>
      </c>
      <c r="JY8" s="2">
        <v>150.0</v>
      </c>
      <c r="JZ8" s="2">
        <v>140.7</v>
      </c>
      <c r="KA8" s="2">
        <v>146.6</v>
      </c>
      <c r="KB8" s="2">
        <v>154.8</v>
      </c>
      <c r="KC8" s="2">
        <v>144.1</v>
      </c>
      <c r="KD8" s="2">
        <v>150.9</v>
      </c>
      <c r="KE8" s="2">
        <v>163.0</v>
      </c>
      <c r="KF8" s="2">
        <v>151.4</v>
      </c>
      <c r="KG8" s="2">
        <v>158.7</v>
      </c>
      <c r="KH8" s="2">
        <v>168.2</v>
      </c>
      <c r="KI8" s="2">
        <v>156.4</v>
      </c>
      <c r="KJ8" s="2">
        <v>163.9</v>
      </c>
      <c r="KK8" s="2">
        <v>175.2</v>
      </c>
      <c r="KL8" s="2">
        <v>161.4</v>
      </c>
      <c r="KM8" s="2">
        <v>170.1</v>
      </c>
      <c r="KN8" s="2">
        <v>184.4</v>
      </c>
      <c r="KO8" s="2">
        <v>168.8</v>
      </c>
      <c r="KP8" s="2">
        <v>178.7</v>
      </c>
      <c r="KQ8" s="2">
        <v>190.4</v>
      </c>
      <c r="KR8" s="2">
        <v>172.2</v>
      </c>
      <c r="KS8" s="2">
        <v>183.7</v>
      </c>
      <c r="KT8" s="2">
        <v>188.7</v>
      </c>
      <c r="KU8" s="2">
        <v>170.6</v>
      </c>
      <c r="KV8" s="2">
        <v>182.1</v>
      </c>
      <c r="KW8" s="2">
        <v>190.9</v>
      </c>
      <c r="KX8" s="2">
        <v>175.0</v>
      </c>
      <c r="KY8" s="2">
        <v>188.0</v>
      </c>
      <c r="KZ8" s="2">
        <v>195.5</v>
      </c>
      <c r="LA8" s="2">
        <v>175.0</v>
      </c>
      <c r="LB8" s="2">
        <v>188.0</v>
      </c>
      <c r="LC8" s="2">
        <v>198.8</v>
      </c>
      <c r="LD8" s="2">
        <v>176.6</v>
      </c>
      <c r="LE8" s="2">
        <v>190.6</v>
      </c>
      <c r="LF8" s="2">
        <v>198.4</v>
      </c>
      <c r="LG8" s="2">
        <v>175.8</v>
      </c>
      <c r="LH8" s="2">
        <v>190.1</v>
      </c>
      <c r="LI8" s="2">
        <v>195.8</v>
      </c>
      <c r="LJ8" s="2">
        <v>173.5</v>
      </c>
      <c r="LK8" s="2">
        <v>187.6</v>
      </c>
      <c r="LL8" s="2">
        <v>192.6</v>
      </c>
      <c r="LM8" s="2">
        <v>171.0</v>
      </c>
      <c r="LN8" s="2">
        <v>184.7</v>
      </c>
      <c r="LO8" s="2">
        <v>192.6</v>
      </c>
      <c r="LP8" s="2">
        <v>171.5</v>
      </c>
      <c r="LQ8" s="2">
        <v>184.9</v>
      </c>
      <c r="LR8" s="2">
        <v>203.1</v>
      </c>
      <c r="LS8" s="2">
        <v>180.0</v>
      </c>
      <c r="LT8" s="2">
        <v>194.6</v>
      </c>
      <c r="LU8" s="2">
        <v>207.4</v>
      </c>
      <c r="LV8" s="2">
        <v>186.0</v>
      </c>
      <c r="LW8" s="2">
        <v>199.5</v>
      </c>
      <c r="LX8" s="2">
        <v>209.9</v>
      </c>
      <c r="LY8" s="2">
        <v>189.5</v>
      </c>
      <c r="LZ8" s="2">
        <v>202.4</v>
      </c>
      <c r="MA8" s="2">
        <v>208.1</v>
      </c>
      <c r="MB8" s="2">
        <v>188.6</v>
      </c>
      <c r="MC8" s="2">
        <v>200.9</v>
      </c>
      <c r="MD8" s="2">
        <v>202.2</v>
      </c>
      <c r="ME8" s="2">
        <v>184.8</v>
      </c>
      <c r="MF8" s="2">
        <v>195.8</v>
      </c>
      <c r="MG8" s="2">
        <v>198.1</v>
      </c>
      <c r="MH8" s="2">
        <v>182.5</v>
      </c>
      <c r="MI8" s="2">
        <v>192.4</v>
      </c>
      <c r="MJ8" s="2">
        <v>194.1</v>
      </c>
      <c r="MK8" s="2">
        <v>179.3</v>
      </c>
      <c r="ML8" s="2">
        <v>188.7</v>
      </c>
      <c r="MM8" s="2">
        <v>191.6</v>
      </c>
      <c r="MN8" s="2">
        <v>177.7</v>
      </c>
      <c r="MO8" s="2">
        <v>186.5</v>
      </c>
      <c r="MP8" s="2">
        <v>194.0</v>
      </c>
      <c r="MQ8" s="2">
        <v>180.0</v>
      </c>
      <c r="MR8" s="2">
        <v>188.9</v>
      </c>
      <c r="MS8" s="2">
        <v>193.9</v>
      </c>
      <c r="MT8" s="2">
        <v>179.1</v>
      </c>
      <c r="MU8" s="2">
        <v>188.5</v>
      </c>
      <c r="MV8" s="2">
        <v>192.6</v>
      </c>
      <c r="MW8" s="2">
        <v>178.0</v>
      </c>
      <c r="MX8" s="2">
        <v>187.2</v>
      </c>
      <c r="MY8" s="2">
        <v>183.4</v>
      </c>
      <c r="MZ8" s="2">
        <v>172.2</v>
      </c>
      <c r="NA8" s="2">
        <v>179.3</v>
      </c>
      <c r="NB8" s="2">
        <v>183.3</v>
      </c>
      <c r="NC8" s="2">
        <v>172.2</v>
      </c>
      <c r="ND8" s="2">
        <v>179.2</v>
      </c>
      <c r="NE8" s="2">
        <v>178.5</v>
      </c>
      <c r="NF8" s="2">
        <v>168.7</v>
      </c>
      <c r="NG8" s="2">
        <v>174.9</v>
      </c>
      <c r="NH8" s="2">
        <v>173.3</v>
      </c>
      <c r="NI8" s="2">
        <v>164.4</v>
      </c>
      <c r="NJ8" s="2">
        <v>170.0</v>
      </c>
    </row>
    <row r="9">
      <c r="A9" s="2" t="s">
        <v>8</v>
      </c>
      <c r="B9" s="2" t="str">
        <f>VLOOKUP(A9, NOTES!C10:D35, 2,0)</f>
        <v>Food</v>
      </c>
      <c r="C9" s="2">
        <v>103.9</v>
      </c>
      <c r="D9" s="2">
        <v>102.3</v>
      </c>
      <c r="E9" s="2">
        <v>103.2</v>
      </c>
      <c r="F9" s="2">
        <v>104.0</v>
      </c>
      <c r="G9" s="2">
        <v>103.1</v>
      </c>
      <c r="H9" s="2">
        <v>103.6</v>
      </c>
      <c r="I9" s="2">
        <v>105.7</v>
      </c>
      <c r="J9" s="2">
        <v>104.9</v>
      </c>
      <c r="K9" s="2">
        <v>105.3</v>
      </c>
      <c r="L9" s="2">
        <v>108.3</v>
      </c>
      <c r="M9" s="2">
        <v>109.5</v>
      </c>
      <c r="N9" s="2">
        <v>108.9</v>
      </c>
      <c r="O9" s="2">
        <v>108.1</v>
      </c>
      <c r="P9" s="2">
        <v>110.6</v>
      </c>
      <c r="Q9" s="2">
        <v>109.3</v>
      </c>
      <c r="R9" s="2">
        <v>109.2</v>
      </c>
      <c r="S9" s="2">
        <v>112.4</v>
      </c>
      <c r="T9" s="2">
        <v>110.7</v>
      </c>
      <c r="U9" s="2">
        <v>110.3</v>
      </c>
      <c r="V9" s="2">
        <v>113.2</v>
      </c>
      <c r="W9" s="2">
        <v>111.7</v>
      </c>
      <c r="X9" s="2">
        <v>110.8</v>
      </c>
      <c r="Y9" s="2">
        <v>108.7</v>
      </c>
      <c r="Z9" s="2">
        <v>109.8</v>
      </c>
      <c r="AA9" s="2">
        <v>110.9</v>
      </c>
      <c r="AB9" s="2">
        <v>103.2</v>
      </c>
      <c r="AC9" s="2">
        <v>107.3</v>
      </c>
      <c r="AD9" s="2">
        <v>113.2</v>
      </c>
      <c r="AE9" s="2">
        <v>106.2</v>
      </c>
      <c r="AF9" s="2">
        <v>109.9</v>
      </c>
      <c r="AG9" s="2">
        <v>116.6</v>
      </c>
      <c r="AH9" s="2">
        <v>110.0</v>
      </c>
      <c r="AI9" s="2">
        <v>113.5</v>
      </c>
      <c r="AJ9" s="2">
        <v>115.5</v>
      </c>
      <c r="AK9" s="2">
        <v>110.7</v>
      </c>
      <c r="AL9" s="2">
        <v>113.3</v>
      </c>
      <c r="AM9" s="2">
        <v>115.5</v>
      </c>
      <c r="AN9" s="2">
        <v>112.1</v>
      </c>
      <c r="AO9" s="2">
        <v>113.9</v>
      </c>
      <c r="AP9" s="2">
        <v>116.6</v>
      </c>
      <c r="AQ9" s="2">
        <v>114.1</v>
      </c>
      <c r="AR9" s="2">
        <v>115.4</v>
      </c>
      <c r="AS9" s="2">
        <v>119.6</v>
      </c>
      <c r="AT9" s="2">
        <v>117.7</v>
      </c>
      <c r="AU9" s="2">
        <v>118.7</v>
      </c>
      <c r="AV9" s="2">
        <v>125.5</v>
      </c>
      <c r="AW9" s="2">
        <v>126.7</v>
      </c>
      <c r="AX9" s="2">
        <v>126.1</v>
      </c>
      <c r="AY9" s="2">
        <v>126.3</v>
      </c>
      <c r="AZ9" s="2">
        <v>129.2</v>
      </c>
      <c r="BA9" s="2">
        <v>127.7</v>
      </c>
      <c r="BB9" s="2">
        <v>125.8</v>
      </c>
      <c r="BC9" s="2">
        <v>131.2</v>
      </c>
      <c r="BD9" s="2">
        <v>128.3</v>
      </c>
      <c r="BE9" s="2">
        <v>129.1</v>
      </c>
      <c r="BF9" s="2">
        <v>133.7</v>
      </c>
      <c r="BG9" s="2">
        <v>131.2</v>
      </c>
      <c r="BH9" s="2">
        <v>129.7</v>
      </c>
      <c r="BI9" s="2">
        <v>132.7</v>
      </c>
      <c r="BJ9" s="2">
        <v>131.1</v>
      </c>
      <c r="BK9" s="2">
        <v>129.8</v>
      </c>
      <c r="BL9" s="2">
        <v>124.5</v>
      </c>
      <c r="BM9" s="2">
        <v>127.3</v>
      </c>
      <c r="BN9" s="2">
        <v>128.9</v>
      </c>
      <c r="BO9" s="2">
        <v>123.5</v>
      </c>
      <c r="BP9" s="2">
        <v>126.4</v>
      </c>
      <c r="BQ9" s="2">
        <v>128.8</v>
      </c>
      <c r="BR9" s="2">
        <v>122.2</v>
      </c>
      <c r="BS9" s="2">
        <v>125.7</v>
      </c>
      <c r="BT9" s="2">
        <v>128.6</v>
      </c>
      <c r="BU9" s="2">
        <v>122.3</v>
      </c>
      <c r="BV9" s="2">
        <v>125.7</v>
      </c>
      <c r="BW9" s="2">
        <v>130.4</v>
      </c>
      <c r="BX9" s="2">
        <v>121.3</v>
      </c>
      <c r="BY9" s="2">
        <v>126.2</v>
      </c>
      <c r="BZ9" s="2">
        <v>129.4</v>
      </c>
      <c r="CA9" s="2">
        <v>121.6</v>
      </c>
      <c r="CB9" s="2">
        <v>125.8</v>
      </c>
      <c r="CC9" s="2">
        <v>130.9</v>
      </c>
      <c r="CD9" s="2">
        <v>123.8</v>
      </c>
      <c r="CE9" s="2">
        <v>127.6</v>
      </c>
      <c r="CF9" s="2">
        <v>134.2</v>
      </c>
      <c r="CG9" s="2">
        <v>130.6</v>
      </c>
      <c r="CH9" s="2">
        <v>132.5</v>
      </c>
      <c r="CI9" s="2">
        <v>134.1</v>
      </c>
      <c r="CJ9" s="2">
        <v>130.8</v>
      </c>
      <c r="CK9" s="2">
        <v>132.6</v>
      </c>
      <c r="CL9" s="2">
        <v>133.2</v>
      </c>
      <c r="CM9" s="2">
        <v>132.3</v>
      </c>
      <c r="CN9" s="2">
        <v>132.8</v>
      </c>
      <c r="CO9" s="2">
        <v>133.3</v>
      </c>
      <c r="CP9" s="2">
        <v>132.8</v>
      </c>
      <c r="CQ9" s="2">
        <v>133.1</v>
      </c>
      <c r="CR9" s="2">
        <v>134.2</v>
      </c>
      <c r="CS9" s="2">
        <v>130.1</v>
      </c>
      <c r="CT9" s="2">
        <v>132.3</v>
      </c>
      <c r="CU9" s="2">
        <v>132.3</v>
      </c>
      <c r="CV9" s="2">
        <v>124.0</v>
      </c>
      <c r="CW9" s="2">
        <v>128.4</v>
      </c>
      <c r="CX9" s="2">
        <v>133.2</v>
      </c>
      <c r="CY9" s="2">
        <v>124.1</v>
      </c>
      <c r="CZ9" s="2">
        <v>129.0</v>
      </c>
      <c r="DA9" s="2">
        <v>132.1</v>
      </c>
      <c r="DB9" s="2">
        <v>123.7</v>
      </c>
      <c r="DC9" s="2">
        <v>128.2</v>
      </c>
      <c r="DD9" s="2">
        <v>131.6</v>
      </c>
      <c r="DE9" s="2">
        <v>120.8</v>
      </c>
      <c r="DF9" s="2">
        <v>126.6</v>
      </c>
      <c r="DG9" s="2">
        <v>131.6</v>
      </c>
      <c r="DH9" s="2">
        <v>119.0</v>
      </c>
      <c r="DI9" s="2">
        <v>125.7</v>
      </c>
      <c r="DJ9" s="2">
        <v>130.4</v>
      </c>
      <c r="DK9" s="2">
        <v>118.6</v>
      </c>
      <c r="DL9" s="2">
        <v>124.9</v>
      </c>
      <c r="DM9" s="2">
        <v>131.7</v>
      </c>
      <c r="DN9" s="2">
        <v>119.9</v>
      </c>
      <c r="DO9" s="2">
        <v>126.2</v>
      </c>
      <c r="DP9" s="2">
        <v>138.1</v>
      </c>
      <c r="DQ9" s="2">
        <v>131.1</v>
      </c>
      <c r="DR9" s="2">
        <v>134.8</v>
      </c>
      <c r="DS9" s="2">
        <v>138.1</v>
      </c>
      <c r="DT9" s="2">
        <v>133.5</v>
      </c>
      <c r="DU9" s="2">
        <v>136.0</v>
      </c>
      <c r="DV9" s="2">
        <v>137.4</v>
      </c>
      <c r="DW9" s="2">
        <v>135.5</v>
      </c>
      <c r="DX9" s="2">
        <v>136.5</v>
      </c>
      <c r="DY9" s="2">
        <v>138.5</v>
      </c>
      <c r="DZ9" s="2">
        <v>137.0</v>
      </c>
      <c r="EA9" s="2">
        <v>137.8</v>
      </c>
      <c r="EB9" s="2">
        <v>140.2</v>
      </c>
      <c r="EC9" s="2">
        <v>135.8</v>
      </c>
      <c r="ED9" s="2">
        <v>138.1</v>
      </c>
      <c r="EE9" s="2">
        <v>139.2</v>
      </c>
      <c r="EF9" s="2">
        <v>132.5</v>
      </c>
      <c r="EG9" s="2">
        <v>136.1</v>
      </c>
      <c r="EH9" s="2">
        <v>138.4</v>
      </c>
      <c r="EI9" s="2">
        <v>130.4</v>
      </c>
      <c r="EJ9" s="2">
        <v>134.7</v>
      </c>
      <c r="EK9" s="2">
        <v>136.9</v>
      </c>
      <c r="EL9" s="2">
        <v>130.8</v>
      </c>
      <c r="EM9" s="2">
        <v>134.1</v>
      </c>
      <c r="EN9" s="2">
        <v>135.6</v>
      </c>
      <c r="EO9" s="2">
        <v>129.3</v>
      </c>
      <c r="EP9" s="2">
        <v>132.7</v>
      </c>
      <c r="EQ9" s="2">
        <v>136.0</v>
      </c>
      <c r="ER9" s="2">
        <v>129.6</v>
      </c>
      <c r="ES9" s="2">
        <v>133.0</v>
      </c>
      <c r="ET9" s="2">
        <v>138.7</v>
      </c>
      <c r="EU9" s="2">
        <v>131.4</v>
      </c>
      <c r="EV9" s="2">
        <v>135.3</v>
      </c>
      <c r="EW9" s="2">
        <v>139.7</v>
      </c>
      <c r="EX9" s="2">
        <v>136.8</v>
      </c>
      <c r="EY9" s="2">
        <v>138.3</v>
      </c>
      <c r="EZ9" s="2">
        <v>141.8</v>
      </c>
      <c r="FA9" s="2">
        <v>137.7</v>
      </c>
      <c r="FB9" s="2">
        <v>139.9</v>
      </c>
      <c r="FC9" s="2">
        <v>140.2</v>
      </c>
      <c r="FD9" s="2">
        <v>135.2</v>
      </c>
      <c r="FE9" s="2">
        <v>137.9</v>
      </c>
      <c r="FF9" s="2">
        <v>140.9</v>
      </c>
      <c r="FG9" s="2">
        <v>137.2</v>
      </c>
      <c r="FH9" s="2">
        <v>139.2</v>
      </c>
      <c r="FI9" s="2">
        <v>143.9</v>
      </c>
      <c r="FJ9" s="2">
        <v>139.4</v>
      </c>
      <c r="FK9" s="2">
        <v>141.8</v>
      </c>
      <c r="FL9" s="2">
        <v>148.0</v>
      </c>
      <c r="FM9" s="2">
        <v>142.7</v>
      </c>
      <c r="FN9" s="2">
        <v>145.5</v>
      </c>
      <c r="FO9" s="2">
        <v>147.8</v>
      </c>
      <c r="FP9" s="2">
        <v>137.5</v>
      </c>
      <c r="FQ9" s="2">
        <v>143.0</v>
      </c>
      <c r="FR9" s="2">
        <v>146.7</v>
      </c>
      <c r="FS9" s="2">
        <v>135.6</v>
      </c>
      <c r="FT9" s="2">
        <v>141.5</v>
      </c>
      <c r="FU9" s="2">
        <v>147.3</v>
      </c>
      <c r="FV9" s="2">
        <v>136.4</v>
      </c>
      <c r="FW9" s="2">
        <v>142.2</v>
      </c>
      <c r="FX9" s="2">
        <v>147.2</v>
      </c>
      <c r="FY9" s="2">
        <v>135.0</v>
      </c>
      <c r="FZ9" s="2">
        <v>141.5</v>
      </c>
      <c r="GA9" s="2">
        <v>147.9</v>
      </c>
      <c r="GB9" s="2">
        <v>133.8</v>
      </c>
      <c r="GC9" s="2">
        <v>141.3</v>
      </c>
      <c r="GD9" s="2">
        <v>149.4</v>
      </c>
      <c r="GE9" s="2">
        <v>135.5</v>
      </c>
      <c r="GF9" s="2">
        <v>142.9</v>
      </c>
      <c r="GG9" s="2">
        <v>152.9</v>
      </c>
      <c r="GH9" s="2">
        <v>138.5</v>
      </c>
      <c r="GI9" s="2">
        <v>146.2</v>
      </c>
      <c r="GJ9" s="2">
        <v>156.4</v>
      </c>
      <c r="GK9" s="2">
        <v>150.1</v>
      </c>
      <c r="GL9" s="2">
        <v>153.5</v>
      </c>
      <c r="GM9" s="2">
        <v>157.5</v>
      </c>
      <c r="GN9" s="2">
        <v>151.3</v>
      </c>
      <c r="GO9" s="2">
        <v>154.6</v>
      </c>
      <c r="GP9" s="2">
        <v>154.1</v>
      </c>
      <c r="GQ9" s="2">
        <v>152.2</v>
      </c>
      <c r="GR9" s="2">
        <v>153.2</v>
      </c>
      <c r="GS9" s="2">
        <v>153.3</v>
      </c>
      <c r="GT9" s="2">
        <v>149.7</v>
      </c>
      <c r="GU9" s="2">
        <v>151.6</v>
      </c>
      <c r="GV9" s="2">
        <v>154.4</v>
      </c>
      <c r="GW9" s="2">
        <v>146.3</v>
      </c>
      <c r="GX9" s="2">
        <v>150.6</v>
      </c>
      <c r="GY9" s="2">
        <v>150.1</v>
      </c>
      <c r="GZ9" s="2">
        <v>140.0</v>
      </c>
      <c r="HA9" s="2">
        <v>145.4</v>
      </c>
      <c r="HB9" s="2">
        <v>144.5</v>
      </c>
      <c r="HC9" s="2">
        <v>139.5</v>
      </c>
      <c r="HD9" s="2">
        <v>142.5</v>
      </c>
      <c r="HE9" s="2">
        <v>143.9</v>
      </c>
      <c r="HF9" s="2">
        <v>141.5</v>
      </c>
      <c r="HG9" s="2">
        <v>142.8</v>
      </c>
      <c r="HH9" s="2">
        <v>140.2</v>
      </c>
      <c r="HI9" s="2">
        <v>138.5</v>
      </c>
      <c r="HJ9" s="2">
        <v>139.4</v>
      </c>
      <c r="HK9" s="2">
        <v>135.5</v>
      </c>
      <c r="HL9" s="2">
        <v>135.2</v>
      </c>
      <c r="HM9" s="2">
        <v>135.4</v>
      </c>
      <c r="HN9" s="2">
        <v>135.8</v>
      </c>
      <c r="HO9" s="2">
        <v>137.0</v>
      </c>
      <c r="HP9" s="2">
        <v>136.4</v>
      </c>
      <c r="HQ9" s="2">
        <v>136.1</v>
      </c>
      <c r="HR9" s="2">
        <v>139.4</v>
      </c>
      <c r="HS9" s="2">
        <v>137.6</v>
      </c>
      <c r="HT9" s="2">
        <v>143.7</v>
      </c>
      <c r="HU9" s="2">
        <v>149.7</v>
      </c>
      <c r="HV9" s="2">
        <v>146.5</v>
      </c>
      <c r="HW9" s="2">
        <v>143.3</v>
      </c>
      <c r="HX9" s="2">
        <v>150.9</v>
      </c>
      <c r="HY9" s="2">
        <v>146.8</v>
      </c>
      <c r="HZ9" s="2">
        <v>146.4</v>
      </c>
      <c r="IA9" s="2">
        <v>154.7</v>
      </c>
      <c r="IB9" s="2">
        <v>150.3</v>
      </c>
      <c r="IC9" s="2">
        <v>145.5</v>
      </c>
      <c r="ID9" s="2">
        <v>153.9</v>
      </c>
      <c r="IE9" s="2">
        <v>149.4</v>
      </c>
      <c r="IF9" s="2">
        <v>143.8</v>
      </c>
      <c r="IG9" s="2">
        <v>149.8</v>
      </c>
      <c r="IH9" s="2">
        <v>146.6</v>
      </c>
      <c r="II9" s="2">
        <v>145.7</v>
      </c>
      <c r="IJ9" s="2">
        <v>150.6</v>
      </c>
      <c r="IK9" s="2">
        <v>148.0</v>
      </c>
      <c r="IL9" s="2">
        <v>146.2</v>
      </c>
      <c r="IM9" s="2">
        <v>148.8</v>
      </c>
      <c r="IN9" s="2">
        <v>147.4</v>
      </c>
      <c r="IO9" s="2">
        <v>144.3</v>
      </c>
      <c r="IP9" s="2">
        <v>147.2</v>
      </c>
      <c r="IQ9" s="2">
        <v>145.7</v>
      </c>
      <c r="IR9" s="2">
        <v>142.2</v>
      </c>
      <c r="IS9" s="2">
        <v>144.4</v>
      </c>
      <c r="IT9" s="2">
        <v>143.2</v>
      </c>
      <c r="IU9" s="2">
        <v>140.7</v>
      </c>
      <c r="IV9" s="2">
        <v>143.1</v>
      </c>
      <c r="IW9" s="2">
        <v>141.8</v>
      </c>
      <c r="IX9" s="2">
        <v>141.8</v>
      </c>
      <c r="IY9" s="2">
        <v>143.3</v>
      </c>
      <c r="IZ9" s="2">
        <v>142.5</v>
      </c>
      <c r="JA9" s="2">
        <v>147.3</v>
      </c>
      <c r="JB9" s="2">
        <v>152.9</v>
      </c>
      <c r="JC9" s="2">
        <v>149.9</v>
      </c>
      <c r="JD9" s="2" t="s">
        <v>32</v>
      </c>
      <c r="JE9" s="2" t="s">
        <v>32</v>
      </c>
      <c r="JF9" s="2" t="s">
        <v>32</v>
      </c>
      <c r="JG9" s="2">
        <v>143.2</v>
      </c>
      <c r="JH9" s="2">
        <v>151.8</v>
      </c>
      <c r="JI9" s="2">
        <v>147.2</v>
      </c>
      <c r="JJ9" s="2">
        <v>143.2</v>
      </c>
      <c r="JK9" s="2">
        <v>151.8</v>
      </c>
      <c r="JL9" s="2">
        <v>147.2</v>
      </c>
      <c r="JM9" s="2">
        <v>146.9</v>
      </c>
      <c r="JN9" s="2">
        <v>154.5</v>
      </c>
      <c r="JO9" s="2">
        <v>150.4</v>
      </c>
      <c r="JP9" s="2">
        <v>147.0</v>
      </c>
      <c r="JQ9" s="2">
        <v>155.4</v>
      </c>
      <c r="JR9" s="2">
        <v>150.9</v>
      </c>
      <c r="JS9" s="2">
        <v>147.2</v>
      </c>
      <c r="JT9" s="2">
        <v>155.7</v>
      </c>
      <c r="JU9" s="2">
        <v>151.2</v>
      </c>
      <c r="JV9" s="2">
        <v>146.5</v>
      </c>
      <c r="JW9" s="2">
        <v>150.5</v>
      </c>
      <c r="JX9" s="2">
        <v>148.4</v>
      </c>
      <c r="JY9" s="2">
        <v>145.9</v>
      </c>
      <c r="JZ9" s="2">
        <v>149.7</v>
      </c>
      <c r="KA9" s="2">
        <v>147.7</v>
      </c>
      <c r="KB9" s="2">
        <v>147.0</v>
      </c>
      <c r="KC9" s="2">
        <v>152.6</v>
      </c>
      <c r="KD9" s="2">
        <v>149.6</v>
      </c>
      <c r="KE9" s="2">
        <v>147.8</v>
      </c>
      <c r="KF9" s="2">
        <v>154.0</v>
      </c>
      <c r="KG9" s="2">
        <v>150.7</v>
      </c>
      <c r="KH9" s="2">
        <v>150.5</v>
      </c>
      <c r="KI9" s="2">
        <v>157.3</v>
      </c>
      <c r="KJ9" s="2">
        <v>153.7</v>
      </c>
      <c r="KK9" s="2">
        <v>160.6</v>
      </c>
      <c r="KL9" s="2">
        <v>168.8</v>
      </c>
      <c r="KM9" s="2">
        <v>164.4</v>
      </c>
      <c r="KN9" s="2">
        <v>162.3</v>
      </c>
      <c r="KO9" s="2">
        <v>172.5</v>
      </c>
      <c r="KP9" s="2">
        <v>167.1</v>
      </c>
      <c r="KQ9" s="2">
        <v>158.6</v>
      </c>
      <c r="KR9" s="2">
        <v>171.5</v>
      </c>
      <c r="KS9" s="2">
        <v>164.6</v>
      </c>
      <c r="KT9" s="2">
        <v>157.7</v>
      </c>
      <c r="KU9" s="2">
        <v>170.9</v>
      </c>
      <c r="KV9" s="2">
        <v>163.9</v>
      </c>
      <c r="KW9" s="2">
        <v>155.7</v>
      </c>
      <c r="KX9" s="2">
        <v>161.3</v>
      </c>
      <c r="KY9" s="2">
        <v>156.8</v>
      </c>
      <c r="KZ9" s="2">
        <v>152.7</v>
      </c>
      <c r="LA9" s="2">
        <v>161.2</v>
      </c>
      <c r="LB9" s="2">
        <v>156.7</v>
      </c>
      <c r="LC9" s="2">
        <v>152.6</v>
      </c>
      <c r="LD9" s="2">
        <v>159.3</v>
      </c>
      <c r="LE9" s="2">
        <v>155.7</v>
      </c>
      <c r="LF9" s="2">
        <v>153.2</v>
      </c>
      <c r="LG9" s="2">
        <v>160.3</v>
      </c>
      <c r="LH9" s="2">
        <v>156.5</v>
      </c>
      <c r="LI9" s="2">
        <v>152.0</v>
      </c>
      <c r="LJ9" s="2">
        <v>158.3</v>
      </c>
      <c r="LK9" s="2">
        <v>154.9</v>
      </c>
      <c r="LL9" s="2">
        <v>151.2</v>
      </c>
      <c r="LM9" s="2">
        <v>156.5</v>
      </c>
      <c r="LN9" s="2">
        <v>153.7</v>
      </c>
      <c r="LO9" s="2">
        <v>151.4</v>
      </c>
      <c r="LP9" s="2">
        <v>156.4</v>
      </c>
      <c r="LQ9" s="2">
        <v>153.7</v>
      </c>
      <c r="LR9" s="2">
        <v>155.9</v>
      </c>
      <c r="LS9" s="2">
        <v>159.6</v>
      </c>
      <c r="LT9" s="2">
        <v>157.6</v>
      </c>
      <c r="LU9" s="2">
        <v>169.7</v>
      </c>
      <c r="LV9" s="2">
        <v>175.9</v>
      </c>
      <c r="LW9" s="2">
        <v>172.6</v>
      </c>
      <c r="LX9" s="2">
        <v>168.0</v>
      </c>
      <c r="LY9" s="2">
        <v>174.5</v>
      </c>
      <c r="LZ9" s="2">
        <v>171.0</v>
      </c>
      <c r="MA9" s="2">
        <v>165.8</v>
      </c>
      <c r="MB9" s="2">
        <v>174.1</v>
      </c>
      <c r="MC9" s="2">
        <v>169.7</v>
      </c>
      <c r="MD9" s="2">
        <v>169.6</v>
      </c>
      <c r="ME9" s="2">
        <v>179.5</v>
      </c>
      <c r="MF9" s="2">
        <v>174.2</v>
      </c>
      <c r="MG9" s="2">
        <v>169.2</v>
      </c>
      <c r="MH9" s="2">
        <v>177.1</v>
      </c>
      <c r="MI9" s="2">
        <v>172.9</v>
      </c>
      <c r="MJ9" s="2">
        <v>164.1</v>
      </c>
      <c r="MK9" s="2">
        <v>167.5</v>
      </c>
      <c r="ML9" s="2">
        <v>165.7</v>
      </c>
      <c r="MM9" s="2">
        <v>162.2</v>
      </c>
      <c r="MN9" s="2">
        <v>165.7</v>
      </c>
      <c r="MO9" s="2">
        <v>163.8</v>
      </c>
      <c r="MP9" s="2">
        <v>159.1</v>
      </c>
      <c r="MQ9" s="2">
        <v>162.6</v>
      </c>
      <c r="MR9" s="2">
        <v>160.7</v>
      </c>
      <c r="MS9" s="2">
        <v>156.7</v>
      </c>
      <c r="MT9" s="2">
        <v>159.5</v>
      </c>
      <c r="MU9" s="2">
        <v>158.0</v>
      </c>
      <c r="MV9" s="2">
        <v>156.3</v>
      </c>
      <c r="MW9" s="2">
        <v>160.5</v>
      </c>
      <c r="MX9" s="2">
        <v>158.3</v>
      </c>
      <c r="MY9" s="2">
        <v>167.2</v>
      </c>
      <c r="MZ9" s="2">
        <v>172.1</v>
      </c>
      <c r="NA9" s="2">
        <v>169.5</v>
      </c>
      <c r="NB9" s="2">
        <v>167.2</v>
      </c>
      <c r="NC9" s="2">
        <v>172.1</v>
      </c>
      <c r="ND9" s="2">
        <v>169.5</v>
      </c>
      <c r="NE9" s="2">
        <v>173.7</v>
      </c>
      <c r="NF9" s="2">
        <v>179.2</v>
      </c>
      <c r="NG9" s="2">
        <v>176.3</v>
      </c>
      <c r="NH9" s="2">
        <v>169.0</v>
      </c>
      <c r="NI9" s="2">
        <v>175.8</v>
      </c>
      <c r="NJ9" s="2">
        <v>172.2</v>
      </c>
    </row>
    <row r="10">
      <c r="A10" s="2" t="s">
        <v>9</v>
      </c>
      <c r="B10" s="2" t="str">
        <f>VLOOKUP(A10, NOTES!C11:D36, 2,0)</f>
        <v>Food</v>
      </c>
      <c r="C10" s="2">
        <v>101.9</v>
      </c>
      <c r="D10" s="2">
        <v>102.9</v>
      </c>
      <c r="E10" s="2">
        <v>102.2</v>
      </c>
      <c r="F10" s="2">
        <v>102.4</v>
      </c>
      <c r="G10" s="2">
        <v>104.9</v>
      </c>
      <c r="H10" s="2">
        <v>103.2</v>
      </c>
      <c r="I10" s="2">
        <v>101.4</v>
      </c>
      <c r="J10" s="2">
        <v>103.8</v>
      </c>
      <c r="K10" s="2">
        <v>102.2</v>
      </c>
      <c r="L10" s="2">
        <v>103.4</v>
      </c>
      <c r="M10" s="2">
        <v>109.7</v>
      </c>
      <c r="N10" s="2">
        <v>105.5</v>
      </c>
      <c r="O10" s="2">
        <v>107.3</v>
      </c>
      <c r="P10" s="2">
        <v>123.7</v>
      </c>
      <c r="Q10" s="2">
        <v>112.9</v>
      </c>
      <c r="R10" s="2">
        <v>118.0</v>
      </c>
      <c r="S10" s="2">
        <v>143.6</v>
      </c>
      <c r="T10" s="2">
        <v>126.7</v>
      </c>
      <c r="U10" s="2">
        <v>129.2</v>
      </c>
      <c r="V10" s="2">
        <v>160.9</v>
      </c>
      <c r="W10" s="2">
        <v>140.0</v>
      </c>
      <c r="X10" s="2">
        <v>138.9</v>
      </c>
      <c r="Y10" s="2">
        <v>177.0</v>
      </c>
      <c r="Z10" s="2">
        <v>151.8</v>
      </c>
      <c r="AA10" s="2">
        <v>154.0</v>
      </c>
      <c r="AB10" s="2">
        <v>174.3</v>
      </c>
      <c r="AC10" s="2">
        <v>160.9</v>
      </c>
      <c r="AD10" s="2">
        <v>164.9</v>
      </c>
      <c r="AE10" s="2">
        <v>183.5</v>
      </c>
      <c r="AF10" s="2">
        <v>171.2</v>
      </c>
      <c r="AG10" s="2">
        <v>178.1</v>
      </c>
      <c r="AH10" s="2">
        <v>192.8</v>
      </c>
      <c r="AI10" s="2">
        <v>183.1</v>
      </c>
      <c r="AJ10" s="2">
        <v>145.7</v>
      </c>
      <c r="AK10" s="2">
        <v>144.8</v>
      </c>
      <c r="AL10" s="2">
        <v>145.4</v>
      </c>
      <c r="AM10" s="2">
        <v>123.9</v>
      </c>
      <c r="AN10" s="2">
        <v>118.9</v>
      </c>
      <c r="AO10" s="2">
        <v>122.2</v>
      </c>
      <c r="AP10" s="2">
        <v>116.0</v>
      </c>
      <c r="AQ10" s="2">
        <v>111.5</v>
      </c>
      <c r="AR10" s="2">
        <v>114.5</v>
      </c>
      <c r="AS10" s="2">
        <v>117.9</v>
      </c>
      <c r="AT10" s="2">
        <v>113.3</v>
      </c>
      <c r="AU10" s="2">
        <v>116.3</v>
      </c>
      <c r="AV10" s="2">
        <v>120.5</v>
      </c>
      <c r="AW10" s="2">
        <v>121.2</v>
      </c>
      <c r="AX10" s="2">
        <v>120.7</v>
      </c>
      <c r="AY10" s="2">
        <v>123.9</v>
      </c>
      <c r="AZ10" s="2">
        <v>127.0</v>
      </c>
      <c r="BA10" s="2">
        <v>125.0</v>
      </c>
      <c r="BB10" s="2">
        <v>129.3</v>
      </c>
      <c r="BC10" s="2">
        <v>137.5</v>
      </c>
      <c r="BD10" s="2">
        <v>132.1</v>
      </c>
      <c r="BE10" s="2">
        <v>150.1</v>
      </c>
      <c r="BF10" s="2">
        <v>172.4</v>
      </c>
      <c r="BG10" s="2">
        <v>157.7</v>
      </c>
      <c r="BH10" s="2">
        <v>161.1</v>
      </c>
      <c r="BI10" s="2">
        <v>181.9</v>
      </c>
      <c r="BJ10" s="2">
        <v>168.2</v>
      </c>
      <c r="BK10" s="2">
        <v>158.8</v>
      </c>
      <c r="BL10" s="2">
        <v>168.6</v>
      </c>
      <c r="BM10" s="2">
        <v>162.1</v>
      </c>
      <c r="BN10" s="2">
        <v>155.3</v>
      </c>
      <c r="BO10" s="2">
        <v>159.6</v>
      </c>
      <c r="BP10" s="2">
        <v>156.8</v>
      </c>
      <c r="BQ10" s="2">
        <v>152.0</v>
      </c>
      <c r="BR10" s="2">
        <v>153.2</v>
      </c>
      <c r="BS10" s="2">
        <v>152.4</v>
      </c>
      <c r="BT10" s="2">
        <v>140.3</v>
      </c>
      <c r="BU10" s="2">
        <v>141.0</v>
      </c>
      <c r="BV10" s="2">
        <v>140.5</v>
      </c>
      <c r="BW10" s="2">
        <v>132.3</v>
      </c>
      <c r="BX10" s="2">
        <v>134.4</v>
      </c>
      <c r="BY10" s="2">
        <v>133.0</v>
      </c>
      <c r="BZ10" s="2">
        <v>128.2</v>
      </c>
      <c r="CA10" s="2">
        <v>131.8</v>
      </c>
      <c r="CB10" s="2">
        <v>129.4</v>
      </c>
      <c r="CC10" s="2">
        <v>128.0</v>
      </c>
      <c r="CD10" s="2">
        <v>131.4</v>
      </c>
      <c r="CE10" s="2">
        <v>129.2</v>
      </c>
      <c r="CF10" s="2">
        <v>127.5</v>
      </c>
      <c r="CG10" s="2">
        <v>130.8</v>
      </c>
      <c r="CH10" s="2">
        <v>128.6</v>
      </c>
      <c r="CI10" s="2">
        <v>128.5</v>
      </c>
      <c r="CJ10" s="2">
        <v>135.6</v>
      </c>
      <c r="CK10" s="2">
        <v>130.9</v>
      </c>
      <c r="CL10" s="2">
        <v>135.2</v>
      </c>
      <c r="CM10" s="2">
        <v>146.7</v>
      </c>
      <c r="CN10" s="2">
        <v>139.1</v>
      </c>
      <c r="CO10" s="2">
        <v>140.8</v>
      </c>
      <c r="CP10" s="2">
        <v>153.5</v>
      </c>
      <c r="CQ10" s="2">
        <v>145.1</v>
      </c>
      <c r="CR10" s="2">
        <v>153.6</v>
      </c>
      <c r="CS10" s="2">
        <v>165.5</v>
      </c>
      <c r="CT10" s="2">
        <v>157.6</v>
      </c>
      <c r="CU10" s="2">
        <v>158.9</v>
      </c>
      <c r="CV10" s="2">
        <v>168.5</v>
      </c>
      <c r="CW10" s="2">
        <v>162.2</v>
      </c>
      <c r="CX10" s="2">
        <v>157.7</v>
      </c>
      <c r="CY10" s="2">
        <v>165.8</v>
      </c>
      <c r="CZ10" s="2">
        <v>160.4</v>
      </c>
      <c r="DA10" s="2">
        <v>155.2</v>
      </c>
      <c r="DB10" s="2">
        <v>164.6</v>
      </c>
      <c r="DC10" s="2">
        <v>158.4</v>
      </c>
      <c r="DD10" s="2">
        <v>145.5</v>
      </c>
      <c r="DE10" s="2">
        <v>149.0</v>
      </c>
      <c r="DF10" s="2">
        <v>146.7</v>
      </c>
      <c r="DG10" s="2">
        <v>140.1</v>
      </c>
      <c r="DH10" s="2">
        <v>144.1</v>
      </c>
      <c r="DI10" s="2">
        <v>141.5</v>
      </c>
      <c r="DJ10" s="2">
        <v>130.9</v>
      </c>
      <c r="DK10" s="2">
        <v>129.2</v>
      </c>
      <c r="DL10" s="2">
        <v>130.3</v>
      </c>
      <c r="DM10" s="2">
        <v>130.7</v>
      </c>
      <c r="DN10" s="2">
        <v>128.1</v>
      </c>
      <c r="DO10" s="2">
        <v>129.8</v>
      </c>
      <c r="DP10" s="2">
        <v>134.1</v>
      </c>
      <c r="DQ10" s="2">
        <v>136.8</v>
      </c>
      <c r="DR10" s="2">
        <v>135.0</v>
      </c>
      <c r="DS10" s="2">
        <v>141.8</v>
      </c>
      <c r="DT10" s="2">
        <v>151.4</v>
      </c>
      <c r="DU10" s="2">
        <v>145.1</v>
      </c>
      <c r="DV10" s="2">
        <v>152.5</v>
      </c>
      <c r="DW10" s="2">
        <v>173.7</v>
      </c>
      <c r="DX10" s="2">
        <v>159.7</v>
      </c>
      <c r="DY10" s="2">
        <v>158.2</v>
      </c>
      <c r="DZ10" s="2">
        <v>179.5</v>
      </c>
      <c r="EA10" s="2">
        <v>165.4</v>
      </c>
      <c r="EB10" s="2">
        <v>156.9</v>
      </c>
      <c r="EC10" s="2">
        <v>163.5</v>
      </c>
      <c r="ED10" s="2">
        <v>159.1</v>
      </c>
      <c r="EE10" s="2">
        <v>149.5</v>
      </c>
      <c r="EF10" s="2">
        <v>152.9</v>
      </c>
      <c r="EG10" s="2">
        <v>150.7</v>
      </c>
      <c r="EH10" s="2">
        <v>149.2</v>
      </c>
      <c r="EI10" s="2">
        <v>155.1</v>
      </c>
      <c r="EJ10" s="2">
        <v>151.2</v>
      </c>
      <c r="EK10" s="2">
        <v>141.8</v>
      </c>
      <c r="EL10" s="2">
        <v>142.0</v>
      </c>
      <c r="EM10" s="2">
        <v>141.9</v>
      </c>
      <c r="EN10" s="2">
        <v>127.5</v>
      </c>
      <c r="EO10" s="2">
        <v>121.1</v>
      </c>
      <c r="EP10" s="2">
        <v>125.3</v>
      </c>
      <c r="EQ10" s="2">
        <v>119.8</v>
      </c>
      <c r="ER10" s="2">
        <v>118.7</v>
      </c>
      <c r="ES10" s="2">
        <v>119.4</v>
      </c>
      <c r="ET10" s="2">
        <v>119.1</v>
      </c>
      <c r="EU10" s="2">
        <v>120.2</v>
      </c>
      <c r="EV10" s="2">
        <v>119.5</v>
      </c>
      <c r="EW10" s="2">
        <v>119.7</v>
      </c>
      <c r="EX10" s="2">
        <v>122.2</v>
      </c>
      <c r="EY10" s="2">
        <v>120.5</v>
      </c>
      <c r="EZ10" s="2">
        <v>121.5</v>
      </c>
      <c r="FA10" s="2">
        <v>127.1</v>
      </c>
      <c r="FB10" s="2">
        <v>123.4</v>
      </c>
      <c r="FC10" s="2">
        <v>123.8</v>
      </c>
      <c r="FD10" s="2">
        <v>129.2</v>
      </c>
      <c r="FE10" s="2">
        <v>125.6</v>
      </c>
      <c r="FF10" s="2">
        <v>128.8</v>
      </c>
      <c r="FG10" s="2">
        <v>142.2</v>
      </c>
      <c r="FH10" s="2">
        <v>133.3</v>
      </c>
      <c r="FI10" s="2">
        <v>151.5</v>
      </c>
      <c r="FJ10" s="2">
        <v>175.1</v>
      </c>
      <c r="FK10" s="2">
        <v>159.5</v>
      </c>
      <c r="FL10" s="2">
        <v>162.9</v>
      </c>
      <c r="FM10" s="2">
        <v>179.8</v>
      </c>
      <c r="FN10" s="2">
        <v>168.6</v>
      </c>
      <c r="FO10" s="2">
        <v>154.5</v>
      </c>
      <c r="FP10" s="2">
        <v>160.7</v>
      </c>
      <c r="FQ10" s="2">
        <v>156.6</v>
      </c>
      <c r="FR10" s="2">
        <v>157.1</v>
      </c>
      <c r="FS10" s="2">
        <v>173.2</v>
      </c>
      <c r="FT10" s="2">
        <v>162.6</v>
      </c>
      <c r="FU10" s="2">
        <v>168.0</v>
      </c>
      <c r="FV10" s="2">
        <v>185.2</v>
      </c>
      <c r="FW10" s="2">
        <v>173.8</v>
      </c>
      <c r="FX10" s="2">
        <v>161.0</v>
      </c>
      <c r="FY10" s="2">
        <v>163.2</v>
      </c>
      <c r="FZ10" s="2">
        <v>161.7</v>
      </c>
      <c r="GA10" s="2">
        <v>152.1</v>
      </c>
      <c r="GB10" s="2">
        <v>150.5</v>
      </c>
      <c r="GC10" s="2">
        <v>151.6</v>
      </c>
      <c r="GD10" s="2">
        <v>142.4</v>
      </c>
      <c r="GE10" s="2">
        <v>136.9</v>
      </c>
      <c r="GF10" s="2">
        <v>140.5</v>
      </c>
      <c r="GG10" s="2">
        <v>138.0</v>
      </c>
      <c r="GH10" s="2">
        <v>128.0</v>
      </c>
      <c r="GI10" s="2">
        <v>134.6</v>
      </c>
      <c r="GJ10" s="2">
        <v>135.1</v>
      </c>
      <c r="GK10" s="2">
        <v>127.6</v>
      </c>
      <c r="GL10" s="2">
        <v>132.6</v>
      </c>
      <c r="GM10" s="2">
        <v>137.8</v>
      </c>
      <c r="GN10" s="2">
        <v>131.4</v>
      </c>
      <c r="GO10" s="2">
        <v>135.6</v>
      </c>
      <c r="GP10" s="2">
        <v>143.5</v>
      </c>
      <c r="GQ10" s="2">
        <v>144.0</v>
      </c>
      <c r="GR10" s="2">
        <v>143.7</v>
      </c>
      <c r="GS10" s="2">
        <v>154.2</v>
      </c>
      <c r="GT10" s="2">
        <v>159.2</v>
      </c>
      <c r="GU10" s="2">
        <v>155.9</v>
      </c>
      <c r="GV10" s="2">
        <v>156.3</v>
      </c>
      <c r="GW10" s="2">
        <v>157.3</v>
      </c>
      <c r="GX10" s="2">
        <v>156.6</v>
      </c>
      <c r="GY10" s="2">
        <v>149.4</v>
      </c>
      <c r="GZ10" s="2">
        <v>151.3</v>
      </c>
      <c r="HA10" s="2">
        <v>150.0</v>
      </c>
      <c r="HB10" s="2">
        <v>147.6</v>
      </c>
      <c r="HC10" s="2">
        <v>153.0</v>
      </c>
      <c r="HD10" s="2">
        <v>146.7</v>
      </c>
      <c r="HE10" s="2">
        <v>147.5</v>
      </c>
      <c r="HF10" s="2">
        <v>145.2</v>
      </c>
      <c r="HG10" s="2">
        <v>146.7</v>
      </c>
      <c r="HH10" s="2">
        <v>136.6</v>
      </c>
      <c r="HI10" s="2">
        <v>132.4</v>
      </c>
      <c r="HJ10" s="2">
        <v>135.2</v>
      </c>
      <c r="HK10" s="2">
        <v>131.7</v>
      </c>
      <c r="HL10" s="2">
        <v>130.5</v>
      </c>
      <c r="HM10" s="2">
        <v>131.3</v>
      </c>
      <c r="HN10" s="2">
        <v>128.7</v>
      </c>
      <c r="HO10" s="2">
        <v>131.6</v>
      </c>
      <c r="HP10" s="2">
        <v>129.7</v>
      </c>
      <c r="HQ10" s="2">
        <v>128.2</v>
      </c>
      <c r="HR10" s="2">
        <v>141.2</v>
      </c>
      <c r="HS10" s="2">
        <v>132.6</v>
      </c>
      <c r="HT10" s="2">
        <v>133.4</v>
      </c>
      <c r="HU10" s="2">
        <v>161.6</v>
      </c>
      <c r="HV10" s="2">
        <v>143.0</v>
      </c>
      <c r="HW10" s="2">
        <v>140.6</v>
      </c>
      <c r="HX10" s="2">
        <v>169.8</v>
      </c>
      <c r="HY10" s="2">
        <v>150.5</v>
      </c>
      <c r="HZ10" s="2">
        <v>150.1</v>
      </c>
      <c r="IA10" s="2">
        <v>180.1</v>
      </c>
      <c r="IB10" s="2">
        <v>160.3</v>
      </c>
      <c r="IC10" s="2">
        <v>156.2</v>
      </c>
      <c r="ID10" s="2">
        <v>189.1</v>
      </c>
      <c r="IE10" s="2">
        <v>167.4</v>
      </c>
      <c r="IF10" s="2">
        <v>163.4</v>
      </c>
      <c r="IG10" s="2">
        <v>192.4</v>
      </c>
      <c r="IH10" s="2">
        <v>173.2</v>
      </c>
      <c r="II10" s="2">
        <v>178.8</v>
      </c>
      <c r="IJ10" s="2">
        <v>207.2</v>
      </c>
      <c r="IK10" s="2">
        <v>188.4</v>
      </c>
      <c r="IL10" s="2">
        <v>191.4</v>
      </c>
      <c r="IM10" s="2">
        <v>215.7</v>
      </c>
      <c r="IN10" s="2">
        <v>199.6</v>
      </c>
      <c r="IO10" s="2">
        <v>209.5</v>
      </c>
      <c r="IP10" s="2">
        <v>231.5</v>
      </c>
      <c r="IQ10" s="2">
        <v>217.0</v>
      </c>
      <c r="IR10" s="2">
        <v>191.5</v>
      </c>
      <c r="IS10" s="2">
        <v>207.8</v>
      </c>
      <c r="IT10" s="2">
        <v>197.0</v>
      </c>
      <c r="IU10" s="2">
        <v>165.1</v>
      </c>
      <c r="IV10" s="2">
        <v>181.7</v>
      </c>
      <c r="IW10" s="2">
        <v>170.7</v>
      </c>
      <c r="IX10" s="2">
        <v>152.3</v>
      </c>
      <c r="IY10" s="2">
        <v>167.0</v>
      </c>
      <c r="IZ10" s="2">
        <v>157.3</v>
      </c>
      <c r="JA10" s="2">
        <v>162.7</v>
      </c>
      <c r="JB10" s="2">
        <v>180.0</v>
      </c>
      <c r="JC10" s="2">
        <v>168.6</v>
      </c>
      <c r="JD10" s="2" t="s">
        <v>32</v>
      </c>
      <c r="JE10" s="2" t="s">
        <v>32</v>
      </c>
      <c r="JF10" s="2" t="s">
        <v>32</v>
      </c>
      <c r="JG10" s="2">
        <v>148.9</v>
      </c>
      <c r="JH10" s="2">
        <v>171.2</v>
      </c>
      <c r="JI10" s="2">
        <v>156.5</v>
      </c>
      <c r="JJ10" s="2">
        <v>148.9</v>
      </c>
      <c r="JK10" s="2">
        <v>171.2</v>
      </c>
      <c r="JL10" s="2">
        <v>156.5</v>
      </c>
      <c r="JM10" s="2">
        <v>171.0</v>
      </c>
      <c r="JN10" s="2">
        <v>191.9</v>
      </c>
      <c r="JO10" s="2">
        <v>178.1</v>
      </c>
      <c r="JP10" s="2">
        <v>178.8</v>
      </c>
      <c r="JQ10" s="2">
        <v>202.0</v>
      </c>
      <c r="JR10" s="2">
        <v>186.7</v>
      </c>
      <c r="JS10" s="2">
        <v>200.6</v>
      </c>
      <c r="JT10" s="2">
        <v>226.0</v>
      </c>
      <c r="JU10" s="2">
        <v>209.2</v>
      </c>
      <c r="JV10" s="2">
        <v>222.2</v>
      </c>
      <c r="JW10" s="2">
        <v>245.3</v>
      </c>
      <c r="JX10" s="2">
        <v>230.0</v>
      </c>
      <c r="JY10" s="2">
        <v>225.2</v>
      </c>
      <c r="JZ10" s="2">
        <v>240.9</v>
      </c>
      <c r="KA10" s="2">
        <v>230.5</v>
      </c>
      <c r="KB10" s="2">
        <v>187.8</v>
      </c>
      <c r="KC10" s="2">
        <v>206.8</v>
      </c>
      <c r="KD10" s="2">
        <v>194.2</v>
      </c>
      <c r="KE10" s="2">
        <v>149.7</v>
      </c>
      <c r="KF10" s="2">
        <v>180.2</v>
      </c>
      <c r="KG10" s="2">
        <v>160.0</v>
      </c>
      <c r="KH10" s="2">
        <v>141.0</v>
      </c>
      <c r="KI10" s="2">
        <v>166.1</v>
      </c>
      <c r="KJ10" s="2">
        <v>149.5</v>
      </c>
      <c r="KK10" s="2">
        <v>135.1</v>
      </c>
      <c r="KL10" s="2">
        <v>161.6</v>
      </c>
      <c r="KM10" s="2">
        <v>144.1</v>
      </c>
      <c r="KN10" s="2">
        <v>138.4</v>
      </c>
      <c r="KO10" s="2">
        <v>166.5</v>
      </c>
      <c r="KP10" s="2">
        <v>147.9</v>
      </c>
      <c r="KQ10" s="2">
        <v>144.7</v>
      </c>
      <c r="KR10" s="2">
        <v>176.2</v>
      </c>
      <c r="KS10" s="2">
        <v>155.4</v>
      </c>
      <c r="KT10" s="2">
        <v>152.8</v>
      </c>
      <c r="KU10" s="2">
        <v>186.4</v>
      </c>
      <c r="KV10" s="2">
        <v>164.2</v>
      </c>
      <c r="KW10" s="2">
        <v>153.9</v>
      </c>
      <c r="KX10" s="2">
        <v>183.3</v>
      </c>
      <c r="KY10" s="2">
        <v>162.2</v>
      </c>
      <c r="KZ10" s="2">
        <v>151.4</v>
      </c>
      <c r="LA10" s="2">
        <v>183.5</v>
      </c>
      <c r="LB10" s="2">
        <v>162.3</v>
      </c>
      <c r="LC10" s="2">
        <v>170.4</v>
      </c>
      <c r="LD10" s="2">
        <v>214.4</v>
      </c>
      <c r="LE10" s="2">
        <v>185.3</v>
      </c>
      <c r="LF10" s="2">
        <v>183.9</v>
      </c>
      <c r="LG10" s="2">
        <v>229.1</v>
      </c>
      <c r="LH10" s="2">
        <v>199.2</v>
      </c>
      <c r="LI10" s="2">
        <v>172.3</v>
      </c>
      <c r="LJ10" s="2">
        <v>219.5</v>
      </c>
      <c r="LK10" s="2">
        <v>188.3</v>
      </c>
      <c r="LL10" s="2">
        <v>159.2</v>
      </c>
      <c r="LM10" s="2">
        <v>203.6</v>
      </c>
      <c r="LN10" s="2">
        <v>174.3</v>
      </c>
      <c r="LO10" s="2">
        <v>155.2</v>
      </c>
      <c r="LP10" s="2">
        <v>198.0</v>
      </c>
      <c r="LQ10" s="2">
        <v>169.7</v>
      </c>
      <c r="LR10" s="2">
        <v>155.8</v>
      </c>
      <c r="LS10" s="2">
        <v>188.4</v>
      </c>
      <c r="LT10" s="2">
        <v>166.9</v>
      </c>
      <c r="LU10" s="2">
        <v>153.6</v>
      </c>
      <c r="LV10" s="2">
        <v>190.7</v>
      </c>
      <c r="LW10" s="2">
        <v>166.2</v>
      </c>
      <c r="LX10" s="2">
        <v>160.4</v>
      </c>
      <c r="LY10" s="2">
        <v>203.2</v>
      </c>
      <c r="LZ10" s="2">
        <v>174.9</v>
      </c>
      <c r="MA10" s="2">
        <v>167.3</v>
      </c>
      <c r="MB10" s="2">
        <v>211.5</v>
      </c>
      <c r="MC10" s="2">
        <v>182.3</v>
      </c>
      <c r="MD10" s="2">
        <v>168.6</v>
      </c>
      <c r="ME10" s="2">
        <v>208.5</v>
      </c>
      <c r="MF10" s="2">
        <v>182.1</v>
      </c>
      <c r="MG10" s="2">
        <v>173.1</v>
      </c>
      <c r="MH10" s="2">
        <v>213.1</v>
      </c>
      <c r="MI10" s="2">
        <v>186.7</v>
      </c>
      <c r="MJ10" s="2">
        <v>176.9</v>
      </c>
      <c r="MK10" s="2">
        <v>220.8</v>
      </c>
      <c r="ML10" s="2">
        <v>191.8</v>
      </c>
      <c r="MM10" s="2">
        <v>184.8</v>
      </c>
      <c r="MN10" s="2">
        <v>228.6</v>
      </c>
      <c r="MO10" s="2">
        <v>199.7</v>
      </c>
      <c r="MP10" s="2">
        <v>171.6</v>
      </c>
      <c r="MQ10" s="2">
        <v>205.5</v>
      </c>
      <c r="MR10" s="2">
        <v>183.1</v>
      </c>
      <c r="MS10" s="2">
        <v>150.2</v>
      </c>
      <c r="MT10" s="2">
        <v>178.7</v>
      </c>
      <c r="MU10" s="2">
        <v>159.9</v>
      </c>
      <c r="MV10" s="2">
        <v>142.9</v>
      </c>
      <c r="MW10" s="2">
        <v>175.3</v>
      </c>
      <c r="MX10" s="2">
        <v>153.9</v>
      </c>
      <c r="MY10" s="2">
        <v>140.9</v>
      </c>
      <c r="MZ10" s="2">
        <v>175.8</v>
      </c>
      <c r="NA10" s="2">
        <v>152.7</v>
      </c>
      <c r="NB10" s="2">
        <v>140.9</v>
      </c>
      <c r="NC10" s="2">
        <v>175.9</v>
      </c>
      <c r="ND10" s="2">
        <v>152.8</v>
      </c>
      <c r="NE10" s="2">
        <v>142.8</v>
      </c>
      <c r="NF10" s="2">
        <v>179.9</v>
      </c>
      <c r="NG10" s="2">
        <v>155.4</v>
      </c>
      <c r="NH10" s="2">
        <v>148.7</v>
      </c>
      <c r="NI10" s="2">
        <v>185.0</v>
      </c>
      <c r="NJ10" s="2">
        <v>161.0</v>
      </c>
    </row>
    <row r="11">
      <c r="A11" s="2" t="s">
        <v>10</v>
      </c>
      <c r="B11" s="2" t="str">
        <f>VLOOKUP(A11, NOTES!C12:D37, 2,0)</f>
        <v>Food</v>
      </c>
      <c r="C11" s="2">
        <v>106.1</v>
      </c>
      <c r="D11" s="2">
        <v>105.8</v>
      </c>
      <c r="E11" s="2">
        <v>106.0</v>
      </c>
      <c r="F11" s="2">
        <v>105.9</v>
      </c>
      <c r="G11" s="2">
        <v>104.1</v>
      </c>
      <c r="H11" s="2">
        <v>105.3</v>
      </c>
      <c r="I11" s="2">
        <v>105.7</v>
      </c>
      <c r="J11" s="2">
        <v>103.5</v>
      </c>
      <c r="K11" s="2">
        <v>105.0</v>
      </c>
      <c r="L11" s="2">
        <v>105.7</v>
      </c>
      <c r="M11" s="2">
        <v>104.6</v>
      </c>
      <c r="N11" s="2">
        <v>105.3</v>
      </c>
      <c r="O11" s="2">
        <v>106.1</v>
      </c>
      <c r="P11" s="2">
        <v>105.2</v>
      </c>
      <c r="Q11" s="2">
        <v>105.8</v>
      </c>
      <c r="R11" s="2">
        <v>106.8</v>
      </c>
      <c r="S11" s="2">
        <v>105.4</v>
      </c>
      <c r="T11" s="2">
        <v>106.3</v>
      </c>
      <c r="U11" s="2">
        <v>107.1</v>
      </c>
      <c r="V11" s="2">
        <v>105.1</v>
      </c>
      <c r="W11" s="2">
        <v>106.4</v>
      </c>
      <c r="X11" s="2">
        <v>107.4</v>
      </c>
      <c r="Y11" s="2">
        <v>104.7</v>
      </c>
      <c r="Z11" s="2">
        <v>106.5</v>
      </c>
      <c r="AA11" s="2">
        <v>108.1</v>
      </c>
      <c r="AB11" s="2">
        <v>105.1</v>
      </c>
      <c r="AC11" s="2">
        <v>107.1</v>
      </c>
      <c r="AD11" s="2">
        <v>108.3</v>
      </c>
      <c r="AE11" s="2">
        <v>105.3</v>
      </c>
      <c r="AF11" s="2">
        <v>107.3</v>
      </c>
      <c r="AG11" s="2">
        <v>109.1</v>
      </c>
      <c r="AH11" s="2">
        <v>106.3</v>
      </c>
      <c r="AI11" s="2">
        <v>108.2</v>
      </c>
      <c r="AJ11" s="2">
        <v>109.5</v>
      </c>
      <c r="AK11" s="2">
        <v>107.1</v>
      </c>
      <c r="AL11" s="2">
        <v>108.7</v>
      </c>
      <c r="AM11" s="2">
        <v>109.6</v>
      </c>
      <c r="AN11" s="2">
        <v>107.5</v>
      </c>
      <c r="AO11" s="2">
        <v>108.9</v>
      </c>
      <c r="AP11" s="2">
        <v>109.8</v>
      </c>
      <c r="AQ11" s="2">
        <v>108.2</v>
      </c>
      <c r="AR11" s="2">
        <v>109.3</v>
      </c>
      <c r="AS11" s="2">
        <v>110.2</v>
      </c>
      <c r="AT11" s="2">
        <v>108.9</v>
      </c>
      <c r="AU11" s="2">
        <v>109.8</v>
      </c>
      <c r="AV11" s="2">
        <v>111.0</v>
      </c>
      <c r="AW11" s="2">
        <v>111.0</v>
      </c>
      <c r="AX11" s="2">
        <v>111.0</v>
      </c>
      <c r="AY11" s="2">
        <v>111.5</v>
      </c>
      <c r="AZ11" s="2">
        <v>112.6</v>
      </c>
      <c r="BA11" s="2">
        <v>111.9</v>
      </c>
      <c r="BB11" s="2">
        <v>112.2</v>
      </c>
      <c r="BC11" s="2">
        <v>112.8</v>
      </c>
      <c r="BD11" s="2">
        <v>112.4</v>
      </c>
      <c r="BE11" s="2">
        <v>113.2</v>
      </c>
      <c r="BF11" s="2">
        <v>113.1</v>
      </c>
      <c r="BG11" s="2">
        <v>113.2</v>
      </c>
      <c r="BH11" s="2">
        <v>114.1</v>
      </c>
      <c r="BI11" s="2">
        <v>115.2</v>
      </c>
      <c r="BJ11" s="2">
        <v>114.5</v>
      </c>
      <c r="BK11" s="2">
        <v>115.0</v>
      </c>
      <c r="BL11" s="2">
        <v>116.9</v>
      </c>
      <c r="BM11" s="2">
        <v>115.6</v>
      </c>
      <c r="BN11" s="2">
        <v>115.5</v>
      </c>
      <c r="BO11" s="2">
        <v>117.4</v>
      </c>
      <c r="BP11" s="2">
        <v>116.1</v>
      </c>
      <c r="BQ11" s="2">
        <v>116.2</v>
      </c>
      <c r="BR11" s="2">
        <v>119.3</v>
      </c>
      <c r="BS11" s="2">
        <v>117.2</v>
      </c>
      <c r="BT11" s="2">
        <v>116.3</v>
      </c>
      <c r="BU11" s="2">
        <v>120.1</v>
      </c>
      <c r="BV11" s="2">
        <v>117.6</v>
      </c>
      <c r="BW11" s="2">
        <v>117.2</v>
      </c>
      <c r="BX11" s="2">
        <v>122.9</v>
      </c>
      <c r="BY11" s="2">
        <v>119.1</v>
      </c>
      <c r="BZ11" s="2">
        <v>118.8</v>
      </c>
      <c r="CA11" s="2">
        <v>125.1</v>
      </c>
      <c r="CB11" s="2">
        <v>120.9</v>
      </c>
      <c r="CC11" s="2">
        <v>119.9</v>
      </c>
      <c r="CD11" s="2">
        <v>127.2</v>
      </c>
      <c r="CE11" s="2">
        <v>122.4</v>
      </c>
      <c r="CF11" s="2">
        <v>121.5</v>
      </c>
      <c r="CG11" s="2">
        <v>131.3</v>
      </c>
      <c r="CH11" s="2">
        <v>124.8</v>
      </c>
      <c r="CI11" s="2">
        <v>124.3</v>
      </c>
      <c r="CJ11" s="2">
        <v>142.6</v>
      </c>
      <c r="CK11" s="2">
        <v>130.5</v>
      </c>
      <c r="CL11" s="2">
        <v>131.9</v>
      </c>
      <c r="CM11" s="2">
        <v>148.1</v>
      </c>
      <c r="CN11" s="2">
        <v>137.4</v>
      </c>
      <c r="CO11" s="2">
        <v>133.8</v>
      </c>
      <c r="CP11" s="2">
        <v>149.5</v>
      </c>
      <c r="CQ11" s="2">
        <v>139.1</v>
      </c>
      <c r="CR11" s="2">
        <v>137.9</v>
      </c>
      <c r="CS11" s="2">
        <v>156.0</v>
      </c>
      <c r="CT11" s="2">
        <v>144.0</v>
      </c>
      <c r="CU11" s="2">
        <v>142.1</v>
      </c>
      <c r="CV11" s="2">
        <v>165.4</v>
      </c>
      <c r="CW11" s="2">
        <v>150.0</v>
      </c>
      <c r="CX11" s="2">
        <v>154.2</v>
      </c>
      <c r="CY11" s="2">
        <v>187.2</v>
      </c>
      <c r="CZ11" s="2">
        <v>165.3</v>
      </c>
      <c r="DA11" s="2">
        <v>160.8</v>
      </c>
      <c r="DB11" s="2">
        <v>191.6</v>
      </c>
      <c r="DC11" s="2">
        <v>171.2</v>
      </c>
      <c r="DD11" s="2">
        <v>162.1</v>
      </c>
      <c r="DE11" s="2">
        <v>190.1</v>
      </c>
      <c r="DF11" s="2">
        <v>171.5</v>
      </c>
      <c r="DG11" s="2">
        <v>163.8</v>
      </c>
      <c r="DH11" s="2">
        <v>184.2</v>
      </c>
      <c r="DI11" s="2">
        <v>170.7</v>
      </c>
      <c r="DJ11" s="2">
        <v>162.8</v>
      </c>
      <c r="DK11" s="2">
        <v>176.4</v>
      </c>
      <c r="DL11" s="2">
        <v>167.4</v>
      </c>
      <c r="DM11" s="2">
        <v>161.2</v>
      </c>
      <c r="DN11" s="2">
        <v>170.3</v>
      </c>
      <c r="DO11" s="2">
        <v>164.3</v>
      </c>
      <c r="DP11" s="2">
        <v>162.7</v>
      </c>
      <c r="DQ11" s="2">
        <v>176.9</v>
      </c>
      <c r="DR11" s="2">
        <v>167.5</v>
      </c>
      <c r="DS11" s="2">
        <v>166.0</v>
      </c>
      <c r="DT11" s="2">
        <v>182.8</v>
      </c>
      <c r="DU11" s="2">
        <v>171.7</v>
      </c>
      <c r="DV11" s="2">
        <v>169.2</v>
      </c>
      <c r="DW11" s="2">
        <v>184.4</v>
      </c>
      <c r="DX11" s="2">
        <v>174.3</v>
      </c>
      <c r="DY11" s="2">
        <v>171.8</v>
      </c>
      <c r="DZ11" s="2">
        <v>188.4</v>
      </c>
      <c r="EA11" s="2">
        <v>177.4</v>
      </c>
      <c r="EB11" s="2">
        <v>172.2</v>
      </c>
      <c r="EC11" s="2">
        <v>182.3</v>
      </c>
      <c r="ED11" s="2">
        <v>175.6</v>
      </c>
      <c r="EE11" s="2">
        <v>170.4</v>
      </c>
      <c r="EF11" s="2">
        <v>173.6</v>
      </c>
      <c r="EG11" s="2">
        <v>171.5</v>
      </c>
      <c r="EH11" s="2">
        <v>170.2</v>
      </c>
      <c r="EI11" s="2">
        <v>175.7</v>
      </c>
      <c r="EJ11" s="2">
        <v>172.1</v>
      </c>
      <c r="EK11" s="2">
        <v>170.0</v>
      </c>
      <c r="EL11" s="2">
        <v>174.9</v>
      </c>
      <c r="EM11" s="2">
        <v>171.7</v>
      </c>
      <c r="EN11" s="2">
        <v>167.9</v>
      </c>
      <c r="EO11" s="2">
        <v>170.3</v>
      </c>
      <c r="EP11" s="2">
        <v>168.7</v>
      </c>
      <c r="EQ11" s="2">
        <v>161.7</v>
      </c>
      <c r="ER11" s="2">
        <v>155.1</v>
      </c>
      <c r="ES11" s="2">
        <v>159.5</v>
      </c>
      <c r="ET11" s="2">
        <v>156.9</v>
      </c>
      <c r="EU11" s="2">
        <v>143.1</v>
      </c>
      <c r="EV11" s="2">
        <v>152.2</v>
      </c>
      <c r="EW11" s="2">
        <v>148.0</v>
      </c>
      <c r="EX11" s="2">
        <v>135.8</v>
      </c>
      <c r="EY11" s="2">
        <v>143.9</v>
      </c>
      <c r="EZ11" s="2">
        <v>144.5</v>
      </c>
      <c r="FA11" s="2">
        <v>133.8</v>
      </c>
      <c r="FB11" s="2">
        <v>140.9</v>
      </c>
      <c r="FC11" s="2">
        <v>141.8</v>
      </c>
      <c r="FD11" s="2">
        <v>131.5</v>
      </c>
      <c r="FE11" s="2">
        <v>138.3</v>
      </c>
      <c r="FF11" s="2">
        <v>140.2</v>
      </c>
      <c r="FG11" s="2">
        <v>128.2</v>
      </c>
      <c r="FH11" s="2">
        <v>136.2</v>
      </c>
      <c r="FI11" s="2">
        <v>138.1</v>
      </c>
      <c r="FJ11" s="2">
        <v>124.7</v>
      </c>
      <c r="FK11" s="2">
        <v>133.6</v>
      </c>
      <c r="FL11" s="2">
        <v>137.4</v>
      </c>
      <c r="FM11" s="2">
        <v>123.5</v>
      </c>
      <c r="FN11" s="2">
        <v>132.7</v>
      </c>
      <c r="FO11" s="2">
        <v>137.1</v>
      </c>
      <c r="FP11" s="2">
        <v>124.5</v>
      </c>
      <c r="FQ11" s="2">
        <v>132.9</v>
      </c>
      <c r="FR11" s="2">
        <v>136.4</v>
      </c>
      <c r="FS11" s="2">
        <v>124.1</v>
      </c>
      <c r="FT11" s="2">
        <v>132.3</v>
      </c>
      <c r="FU11" s="2">
        <v>135.8</v>
      </c>
      <c r="FV11" s="2">
        <v>122.2</v>
      </c>
      <c r="FW11" s="2">
        <v>131.2</v>
      </c>
      <c r="FX11" s="2">
        <v>133.8</v>
      </c>
      <c r="FY11" s="2">
        <v>119.8</v>
      </c>
      <c r="FZ11" s="2">
        <v>129.1</v>
      </c>
      <c r="GA11" s="2">
        <v>131.8</v>
      </c>
      <c r="GB11" s="2">
        <v>118.4</v>
      </c>
      <c r="GC11" s="2">
        <v>127.3</v>
      </c>
      <c r="GD11" s="2">
        <v>130.2</v>
      </c>
      <c r="GE11" s="2">
        <v>117.0</v>
      </c>
      <c r="GF11" s="2">
        <v>125.8</v>
      </c>
      <c r="GG11" s="2">
        <v>129.3</v>
      </c>
      <c r="GH11" s="2">
        <v>115.5</v>
      </c>
      <c r="GI11" s="2">
        <v>124.6</v>
      </c>
      <c r="GJ11" s="2">
        <v>128.4</v>
      </c>
      <c r="GK11" s="2">
        <v>114.0</v>
      </c>
      <c r="GL11" s="2">
        <v>123.5</v>
      </c>
      <c r="GM11" s="2">
        <v>127.2</v>
      </c>
      <c r="GN11" s="2">
        <v>112.8</v>
      </c>
      <c r="GO11" s="2">
        <v>122.3</v>
      </c>
      <c r="GP11" s="2">
        <v>126.0</v>
      </c>
      <c r="GQ11" s="2">
        <v>112.3</v>
      </c>
      <c r="GR11" s="2">
        <v>121.4</v>
      </c>
      <c r="GS11" s="2">
        <v>126.4</v>
      </c>
      <c r="GT11" s="2">
        <v>112.6</v>
      </c>
      <c r="GU11" s="2">
        <v>121.7</v>
      </c>
      <c r="GV11" s="2">
        <v>126.8</v>
      </c>
      <c r="GW11" s="2">
        <v>113.6</v>
      </c>
      <c r="GX11" s="2">
        <v>122.4</v>
      </c>
      <c r="GY11" s="2">
        <v>125.4</v>
      </c>
      <c r="GZ11" s="2">
        <v>113.5</v>
      </c>
      <c r="HA11" s="2">
        <v>121.4</v>
      </c>
      <c r="HB11" s="2">
        <v>121.4</v>
      </c>
      <c r="HC11" s="2">
        <v>113.2</v>
      </c>
      <c r="HD11" s="2">
        <v>119.1</v>
      </c>
      <c r="HE11" s="2">
        <v>121.0</v>
      </c>
      <c r="HF11" s="2">
        <v>115.3</v>
      </c>
      <c r="HG11" s="2">
        <v>119.1</v>
      </c>
      <c r="HH11" s="2">
        <v>120.9</v>
      </c>
      <c r="HI11" s="2">
        <v>117.5</v>
      </c>
      <c r="HJ11" s="2">
        <v>119.8</v>
      </c>
      <c r="HK11" s="2">
        <v>121.3</v>
      </c>
      <c r="HL11" s="2">
        <v>118.2</v>
      </c>
      <c r="HM11" s="2">
        <v>120.3</v>
      </c>
      <c r="HN11" s="2">
        <v>121.5</v>
      </c>
      <c r="HO11" s="2">
        <v>119.9</v>
      </c>
      <c r="HP11" s="2">
        <v>121.0</v>
      </c>
      <c r="HQ11" s="2">
        <v>122.3</v>
      </c>
      <c r="HR11" s="2">
        <v>120.7</v>
      </c>
      <c r="HS11" s="2">
        <v>121.8</v>
      </c>
      <c r="HT11" s="2">
        <v>125.1</v>
      </c>
      <c r="HU11" s="2">
        <v>124.4</v>
      </c>
      <c r="HV11" s="2">
        <v>124.9</v>
      </c>
      <c r="HW11" s="2">
        <v>128.7</v>
      </c>
      <c r="HX11" s="2">
        <v>127.4</v>
      </c>
      <c r="HY11" s="2">
        <v>128.3</v>
      </c>
      <c r="HZ11" s="2">
        <v>130.6</v>
      </c>
      <c r="IA11" s="2">
        <v>128.9</v>
      </c>
      <c r="IB11" s="2">
        <v>130.0</v>
      </c>
      <c r="IC11" s="2">
        <v>131.5</v>
      </c>
      <c r="ID11" s="2">
        <v>129.8</v>
      </c>
      <c r="IE11" s="2">
        <v>130.9</v>
      </c>
      <c r="IF11" s="2">
        <v>132.2</v>
      </c>
      <c r="IG11" s="2">
        <v>130.3</v>
      </c>
      <c r="IH11" s="2">
        <v>131.6</v>
      </c>
      <c r="II11" s="2">
        <v>133.1</v>
      </c>
      <c r="IJ11" s="2">
        <v>131.2</v>
      </c>
      <c r="IK11" s="2">
        <v>132.5</v>
      </c>
      <c r="IL11" s="2">
        <v>136.2</v>
      </c>
      <c r="IM11" s="2">
        <v>134.6</v>
      </c>
      <c r="IN11" s="2">
        <v>135.7</v>
      </c>
      <c r="IO11" s="2">
        <v>138.8</v>
      </c>
      <c r="IP11" s="2">
        <v>137.2</v>
      </c>
      <c r="IQ11" s="2">
        <v>138.3</v>
      </c>
      <c r="IR11" s="2">
        <v>141.1</v>
      </c>
      <c r="IS11" s="2">
        <v>139.1</v>
      </c>
      <c r="IT11" s="2">
        <v>140.4</v>
      </c>
      <c r="IU11" s="2">
        <v>141.8</v>
      </c>
      <c r="IV11" s="2">
        <v>139.6</v>
      </c>
      <c r="IW11" s="2">
        <v>141.1</v>
      </c>
      <c r="IX11" s="2">
        <v>141.8</v>
      </c>
      <c r="IY11" s="2">
        <v>139.7</v>
      </c>
      <c r="IZ11" s="2">
        <v>141.1</v>
      </c>
      <c r="JA11" s="2">
        <v>150.2</v>
      </c>
      <c r="JB11" s="2">
        <v>150.8</v>
      </c>
      <c r="JC11" s="2">
        <v>150.4</v>
      </c>
      <c r="JD11" s="2" t="s">
        <v>32</v>
      </c>
      <c r="JE11" s="2" t="s">
        <v>32</v>
      </c>
      <c r="JF11" s="2" t="s">
        <v>32</v>
      </c>
      <c r="JG11" s="2">
        <v>150.3</v>
      </c>
      <c r="JH11" s="2">
        <v>152.0</v>
      </c>
      <c r="JI11" s="2">
        <v>150.9</v>
      </c>
      <c r="JJ11" s="2">
        <v>150.3</v>
      </c>
      <c r="JK11" s="2">
        <v>152.0</v>
      </c>
      <c r="JL11" s="2">
        <v>150.9</v>
      </c>
      <c r="JM11" s="2">
        <v>149.9</v>
      </c>
      <c r="JN11" s="2">
        <v>151.3</v>
      </c>
      <c r="JO11" s="2">
        <v>150.4</v>
      </c>
      <c r="JP11" s="2">
        <v>149.3</v>
      </c>
      <c r="JQ11" s="2">
        <v>150.8</v>
      </c>
      <c r="JR11" s="2">
        <v>149.8</v>
      </c>
      <c r="JS11" s="2">
        <v>150.3</v>
      </c>
      <c r="JT11" s="2">
        <v>152.2</v>
      </c>
      <c r="JU11" s="2">
        <v>150.9</v>
      </c>
      <c r="JV11" s="2">
        <v>155.9</v>
      </c>
      <c r="JW11" s="2">
        <v>158.7</v>
      </c>
      <c r="JX11" s="2">
        <v>156.8</v>
      </c>
      <c r="JY11" s="2">
        <v>159.5</v>
      </c>
      <c r="JZ11" s="2">
        <v>161.5</v>
      </c>
      <c r="KA11" s="2">
        <v>160.2</v>
      </c>
      <c r="KB11" s="2">
        <v>159.5</v>
      </c>
      <c r="KC11" s="2">
        <v>162.1</v>
      </c>
      <c r="KD11" s="2">
        <v>160.4</v>
      </c>
      <c r="KE11" s="2">
        <v>158.3</v>
      </c>
      <c r="KF11" s="2">
        <v>159.8</v>
      </c>
      <c r="KG11" s="2">
        <v>158.8</v>
      </c>
      <c r="KH11" s="2">
        <v>159.2</v>
      </c>
      <c r="KI11" s="2">
        <v>161.1</v>
      </c>
      <c r="KJ11" s="2">
        <v>159.8</v>
      </c>
      <c r="KK11" s="2">
        <v>161.1</v>
      </c>
      <c r="KL11" s="2">
        <v>162.8</v>
      </c>
      <c r="KM11" s="2">
        <v>161.7</v>
      </c>
      <c r="KN11" s="2">
        <v>165.1</v>
      </c>
      <c r="KO11" s="2">
        <v>165.9</v>
      </c>
      <c r="KP11" s="2">
        <v>165.4</v>
      </c>
      <c r="KQ11" s="2">
        <v>165.5</v>
      </c>
      <c r="KR11" s="2">
        <v>166.9</v>
      </c>
      <c r="KS11" s="2">
        <v>166.0</v>
      </c>
      <c r="KT11" s="2">
        <v>163.6</v>
      </c>
      <c r="KU11" s="2">
        <v>164.7</v>
      </c>
      <c r="KV11" s="2">
        <v>164.0</v>
      </c>
      <c r="KW11" s="2">
        <v>162.8</v>
      </c>
      <c r="KX11" s="2">
        <v>164.5</v>
      </c>
      <c r="KY11" s="2">
        <v>164.1</v>
      </c>
      <c r="KZ11" s="2">
        <v>163.9</v>
      </c>
      <c r="LA11" s="2">
        <v>164.5</v>
      </c>
      <c r="LB11" s="2">
        <v>164.1</v>
      </c>
      <c r="LC11" s="2">
        <v>165.2</v>
      </c>
      <c r="LD11" s="2">
        <v>165.3</v>
      </c>
      <c r="LE11" s="2">
        <v>165.2</v>
      </c>
      <c r="LF11" s="2">
        <v>165.4</v>
      </c>
      <c r="LG11" s="2">
        <v>165.1</v>
      </c>
      <c r="LH11" s="2">
        <v>165.3</v>
      </c>
      <c r="LI11" s="2">
        <v>164.5</v>
      </c>
      <c r="LJ11" s="2">
        <v>164.2</v>
      </c>
      <c r="LK11" s="2">
        <v>164.4</v>
      </c>
      <c r="LL11" s="2">
        <v>164.0</v>
      </c>
      <c r="LM11" s="2">
        <v>163.8</v>
      </c>
      <c r="LN11" s="2">
        <v>163.9</v>
      </c>
      <c r="LO11" s="2">
        <v>163.9</v>
      </c>
      <c r="LP11" s="2">
        <v>163.2</v>
      </c>
      <c r="LQ11" s="2">
        <v>163.7</v>
      </c>
      <c r="LR11" s="2">
        <v>164.2</v>
      </c>
      <c r="LS11" s="2">
        <v>163.4</v>
      </c>
      <c r="LT11" s="2">
        <v>163.9</v>
      </c>
      <c r="LU11" s="2">
        <v>165.1</v>
      </c>
      <c r="LV11" s="2">
        <v>164.0</v>
      </c>
      <c r="LW11" s="2">
        <v>164.7</v>
      </c>
      <c r="LX11" s="2">
        <v>165.0</v>
      </c>
      <c r="LY11" s="2">
        <v>164.1</v>
      </c>
      <c r="LZ11" s="2">
        <v>164.7</v>
      </c>
      <c r="MA11" s="2">
        <v>164.6</v>
      </c>
      <c r="MB11" s="2">
        <v>163.6</v>
      </c>
      <c r="MC11" s="2">
        <v>164.3</v>
      </c>
      <c r="MD11" s="2">
        <v>164.4</v>
      </c>
      <c r="ME11" s="2">
        <v>164.0</v>
      </c>
      <c r="MF11" s="2">
        <v>164.3</v>
      </c>
      <c r="MG11" s="2">
        <v>167.1</v>
      </c>
      <c r="MH11" s="2">
        <v>167.3</v>
      </c>
      <c r="MI11" s="2">
        <v>167.2</v>
      </c>
      <c r="MJ11" s="2">
        <v>169.0</v>
      </c>
      <c r="MK11" s="2">
        <v>169.2</v>
      </c>
      <c r="ML11" s="2">
        <v>169.1</v>
      </c>
      <c r="MM11" s="2">
        <v>169.7</v>
      </c>
      <c r="MN11" s="2">
        <v>169.9</v>
      </c>
      <c r="MO11" s="2">
        <v>169.8</v>
      </c>
      <c r="MP11" s="2">
        <v>170.2</v>
      </c>
      <c r="MQ11" s="2">
        <v>171.0</v>
      </c>
      <c r="MR11" s="2">
        <v>170.5</v>
      </c>
      <c r="MS11" s="2">
        <v>170.5</v>
      </c>
      <c r="MT11" s="2">
        <v>171.3</v>
      </c>
      <c r="MU11" s="2">
        <v>170.8</v>
      </c>
      <c r="MV11" s="2">
        <v>170.7</v>
      </c>
      <c r="MW11" s="2">
        <v>171.2</v>
      </c>
      <c r="MX11" s="2">
        <v>170.9</v>
      </c>
      <c r="MY11" s="2">
        <v>170.4</v>
      </c>
      <c r="MZ11" s="2">
        <v>172.2</v>
      </c>
      <c r="NA11" s="2">
        <v>171.0</v>
      </c>
      <c r="NB11" s="2">
        <v>170.5</v>
      </c>
      <c r="NC11" s="2">
        <v>172.2</v>
      </c>
      <c r="ND11" s="2">
        <v>171.1</v>
      </c>
      <c r="NE11" s="2">
        <v>172.8</v>
      </c>
      <c r="NF11" s="2">
        <v>174.7</v>
      </c>
      <c r="NG11" s="2">
        <v>173.4</v>
      </c>
      <c r="NH11" s="2">
        <v>174.9</v>
      </c>
      <c r="NI11" s="2">
        <v>176.9</v>
      </c>
      <c r="NJ11" s="2">
        <v>175.6</v>
      </c>
    </row>
    <row r="12">
      <c r="A12" s="2" t="s">
        <v>11</v>
      </c>
      <c r="B12" s="2" t="str">
        <f>VLOOKUP(A12, NOTES!C13:D38, 2,0)</f>
        <v>Food</v>
      </c>
      <c r="C12" s="2">
        <v>106.8</v>
      </c>
      <c r="D12" s="2">
        <v>105.1</v>
      </c>
      <c r="E12" s="2">
        <v>106.2</v>
      </c>
      <c r="F12" s="2">
        <v>105.7</v>
      </c>
      <c r="G12" s="2">
        <v>103.8</v>
      </c>
      <c r="H12" s="2">
        <v>105.1</v>
      </c>
      <c r="I12" s="2">
        <v>105.0</v>
      </c>
      <c r="J12" s="2">
        <v>102.6</v>
      </c>
      <c r="K12" s="2">
        <v>104.2</v>
      </c>
      <c r="L12" s="2">
        <v>104.2</v>
      </c>
      <c r="M12" s="2">
        <v>102.0</v>
      </c>
      <c r="N12" s="2">
        <v>103.5</v>
      </c>
      <c r="O12" s="2">
        <v>103.7</v>
      </c>
      <c r="P12" s="2">
        <v>101.9</v>
      </c>
      <c r="Q12" s="2">
        <v>103.1</v>
      </c>
      <c r="R12" s="2">
        <v>104.1</v>
      </c>
      <c r="S12" s="2">
        <v>101.4</v>
      </c>
      <c r="T12" s="2">
        <v>103.2</v>
      </c>
      <c r="U12" s="2">
        <v>104.3</v>
      </c>
      <c r="V12" s="2">
        <v>101.3</v>
      </c>
      <c r="W12" s="2">
        <v>103.3</v>
      </c>
      <c r="X12" s="2">
        <v>104.1</v>
      </c>
      <c r="Y12" s="2">
        <v>101.0</v>
      </c>
      <c r="Z12" s="2">
        <v>103.1</v>
      </c>
      <c r="AA12" s="2">
        <v>104.2</v>
      </c>
      <c r="AB12" s="2">
        <v>100.8</v>
      </c>
      <c r="AC12" s="2">
        <v>103.1</v>
      </c>
      <c r="AD12" s="2">
        <v>103.9</v>
      </c>
      <c r="AE12" s="2">
        <v>100.2</v>
      </c>
      <c r="AF12" s="2">
        <v>102.7</v>
      </c>
      <c r="AG12" s="2">
        <v>103.6</v>
      </c>
      <c r="AH12" s="2">
        <v>99.5</v>
      </c>
      <c r="AI12" s="2">
        <v>102.2</v>
      </c>
      <c r="AJ12" s="2">
        <v>102.9</v>
      </c>
      <c r="AK12" s="2">
        <v>98.6</v>
      </c>
      <c r="AL12" s="2">
        <v>101.5</v>
      </c>
      <c r="AM12" s="2">
        <v>101.8</v>
      </c>
      <c r="AN12" s="2">
        <v>96.9</v>
      </c>
      <c r="AO12" s="2">
        <v>100.2</v>
      </c>
      <c r="AP12" s="2">
        <v>101.1</v>
      </c>
      <c r="AQ12" s="2">
        <v>95.4</v>
      </c>
      <c r="AR12" s="2">
        <v>99.2</v>
      </c>
      <c r="AS12" s="2">
        <v>101.2</v>
      </c>
      <c r="AT12" s="2">
        <v>96.3</v>
      </c>
      <c r="AU12" s="2">
        <v>99.6</v>
      </c>
      <c r="AV12" s="2">
        <v>102.6</v>
      </c>
      <c r="AW12" s="2">
        <v>100.3</v>
      </c>
      <c r="AX12" s="2">
        <v>101.8</v>
      </c>
      <c r="AY12" s="2">
        <v>103.5</v>
      </c>
      <c r="AZ12" s="2">
        <v>101.3</v>
      </c>
      <c r="BA12" s="2">
        <v>102.8</v>
      </c>
      <c r="BB12" s="2">
        <v>103.6</v>
      </c>
      <c r="BC12" s="2">
        <v>101.4</v>
      </c>
      <c r="BD12" s="2">
        <v>102.9</v>
      </c>
      <c r="BE12" s="2">
        <v>104.8</v>
      </c>
      <c r="BF12" s="2">
        <v>102.7</v>
      </c>
      <c r="BG12" s="2">
        <v>104.1</v>
      </c>
      <c r="BH12" s="2">
        <v>105.1</v>
      </c>
      <c r="BI12" s="2">
        <v>102.7</v>
      </c>
      <c r="BJ12" s="2">
        <v>104.3</v>
      </c>
      <c r="BK12" s="2">
        <v>104.7</v>
      </c>
      <c r="BL12" s="2">
        <v>101.9</v>
      </c>
      <c r="BM12" s="2">
        <v>103.8</v>
      </c>
      <c r="BN12" s="2">
        <v>104.0</v>
      </c>
      <c r="BO12" s="2">
        <v>101.2</v>
      </c>
      <c r="BP12" s="2">
        <v>103.1</v>
      </c>
      <c r="BQ12" s="2">
        <v>103.3</v>
      </c>
      <c r="BR12" s="2">
        <v>99.8</v>
      </c>
      <c r="BS12" s="2">
        <v>102.1</v>
      </c>
      <c r="BT12" s="2">
        <v>102.0</v>
      </c>
      <c r="BU12" s="2">
        <v>97.8</v>
      </c>
      <c r="BV12" s="2">
        <v>100.6</v>
      </c>
      <c r="BW12" s="2">
        <v>100.5</v>
      </c>
      <c r="BX12" s="2">
        <v>96.1</v>
      </c>
      <c r="BY12" s="2">
        <v>99.0</v>
      </c>
      <c r="BZ12" s="2">
        <v>100.0</v>
      </c>
      <c r="CA12" s="2">
        <v>95.0</v>
      </c>
      <c r="CB12" s="2">
        <v>98.3</v>
      </c>
      <c r="CC12" s="2">
        <v>98.9</v>
      </c>
      <c r="CD12" s="2">
        <v>93.2</v>
      </c>
      <c r="CE12" s="2">
        <v>97.0</v>
      </c>
      <c r="CF12" s="2">
        <v>97.8</v>
      </c>
      <c r="CG12" s="2">
        <v>91.6</v>
      </c>
      <c r="CH12" s="2">
        <v>95.7</v>
      </c>
      <c r="CI12" s="2">
        <v>97.6</v>
      </c>
      <c r="CJ12" s="2">
        <v>90.8</v>
      </c>
      <c r="CK12" s="2">
        <v>95.3</v>
      </c>
      <c r="CL12" s="2">
        <v>96.3</v>
      </c>
      <c r="CM12" s="2">
        <v>89.8</v>
      </c>
      <c r="CN12" s="2">
        <v>94.1</v>
      </c>
      <c r="CO12" s="2">
        <v>94.1</v>
      </c>
      <c r="CP12" s="2">
        <v>85.7</v>
      </c>
      <c r="CQ12" s="2">
        <v>91.3</v>
      </c>
      <c r="CR12" s="2">
        <v>93.1</v>
      </c>
      <c r="CS12" s="2">
        <v>85.3</v>
      </c>
      <c r="CT12" s="2">
        <v>90.5</v>
      </c>
      <c r="CU12" s="2">
        <v>92.5</v>
      </c>
      <c r="CV12" s="2">
        <v>86.3</v>
      </c>
      <c r="CW12" s="2">
        <v>90.4</v>
      </c>
      <c r="CX12" s="2">
        <v>93.7</v>
      </c>
      <c r="CY12" s="2">
        <v>89.4</v>
      </c>
      <c r="CZ12" s="2">
        <v>92.3</v>
      </c>
      <c r="DA12" s="2">
        <v>94.5</v>
      </c>
      <c r="DB12" s="2">
        <v>90.8</v>
      </c>
      <c r="DC12" s="2">
        <v>93.3</v>
      </c>
      <c r="DD12" s="2">
        <v>95.4</v>
      </c>
      <c r="DE12" s="2">
        <v>92.7</v>
      </c>
      <c r="DF12" s="2">
        <v>94.5</v>
      </c>
      <c r="DG12" s="2">
        <v>97.7</v>
      </c>
      <c r="DH12" s="2">
        <v>96.7</v>
      </c>
      <c r="DI12" s="2">
        <v>97.4</v>
      </c>
      <c r="DJ12" s="2">
        <v>98.7</v>
      </c>
      <c r="DK12" s="2">
        <v>99.1</v>
      </c>
      <c r="DL12" s="2">
        <v>98.8</v>
      </c>
      <c r="DM12" s="2">
        <v>100.4</v>
      </c>
      <c r="DN12" s="2">
        <v>101.8</v>
      </c>
      <c r="DO12" s="2">
        <v>100.9</v>
      </c>
      <c r="DP12" s="2">
        <v>105.0</v>
      </c>
      <c r="DQ12" s="2">
        <v>109.1</v>
      </c>
      <c r="DR12" s="2">
        <v>106.4</v>
      </c>
      <c r="DS12" s="2">
        <v>107.5</v>
      </c>
      <c r="DT12" s="2">
        <v>111.1</v>
      </c>
      <c r="DU12" s="2">
        <v>108.7</v>
      </c>
      <c r="DV12" s="2">
        <v>108.8</v>
      </c>
      <c r="DW12" s="2">
        <v>112.0</v>
      </c>
      <c r="DX12" s="2">
        <v>109.9</v>
      </c>
      <c r="DY12" s="2">
        <v>110.3</v>
      </c>
      <c r="DZ12" s="2">
        <v>113.3</v>
      </c>
      <c r="EA12" s="2">
        <v>111.3</v>
      </c>
      <c r="EB12" s="2">
        <v>112.1</v>
      </c>
      <c r="EC12" s="2">
        <v>114.6</v>
      </c>
      <c r="ED12" s="2">
        <v>112.9</v>
      </c>
      <c r="EE12" s="2">
        <v>113.1</v>
      </c>
      <c r="EF12" s="2">
        <v>115.1</v>
      </c>
      <c r="EG12" s="2">
        <v>113.8</v>
      </c>
      <c r="EH12" s="2">
        <v>113.4</v>
      </c>
      <c r="EI12" s="2">
        <v>115.4</v>
      </c>
      <c r="EJ12" s="2">
        <v>114.1</v>
      </c>
      <c r="EK12" s="2">
        <v>113.4</v>
      </c>
      <c r="EL12" s="2">
        <v>115.6</v>
      </c>
      <c r="EM12" s="2">
        <v>114.1</v>
      </c>
      <c r="EN12" s="2">
        <v>113.8</v>
      </c>
      <c r="EO12" s="2">
        <v>115.5</v>
      </c>
      <c r="EP12" s="2">
        <v>114.4</v>
      </c>
      <c r="EQ12" s="2">
        <v>114.8</v>
      </c>
      <c r="ER12" s="2">
        <v>117.3</v>
      </c>
      <c r="ES12" s="2">
        <v>115.6</v>
      </c>
      <c r="ET12" s="2">
        <v>116.2</v>
      </c>
      <c r="EU12" s="2">
        <v>119.5</v>
      </c>
      <c r="EV12" s="2">
        <v>117.3</v>
      </c>
      <c r="EW12" s="2">
        <v>116.9</v>
      </c>
      <c r="EX12" s="2">
        <v>120.3</v>
      </c>
      <c r="EY12" s="2">
        <v>118.0</v>
      </c>
      <c r="EZ12" s="2">
        <v>117.4</v>
      </c>
      <c r="FA12" s="2">
        <v>120.8</v>
      </c>
      <c r="FB12" s="2">
        <v>118.5</v>
      </c>
      <c r="FC12" s="2">
        <v>118.6</v>
      </c>
      <c r="FD12" s="2">
        <v>121.0</v>
      </c>
      <c r="FE12" s="2">
        <v>119.4</v>
      </c>
      <c r="FF12" s="2">
        <v>118.9</v>
      </c>
      <c r="FG12" s="2">
        <v>120.9</v>
      </c>
      <c r="FH12" s="2">
        <v>119.6</v>
      </c>
      <c r="FI12" s="2">
        <v>120.0</v>
      </c>
      <c r="FJ12" s="2">
        <v>121.5</v>
      </c>
      <c r="FK12" s="2">
        <v>120.5</v>
      </c>
      <c r="FL12" s="2">
        <v>120.8</v>
      </c>
      <c r="FM12" s="2">
        <v>122.1</v>
      </c>
      <c r="FN12" s="2">
        <v>121.2</v>
      </c>
      <c r="FO12" s="2">
        <v>121.0</v>
      </c>
      <c r="FP12" s="2">
        <v>122.4</v>
      </c>
      <c r="FQ12" s="2">
        <v>121.5</v>
      </c>
      <c r="FR12" s="2">
        <v>121.4</v>
      </c>
      <c r="FS12" s="2">
        <v>122.6</v>
      </c>
      <c r="FT12" s="2">
        <v>121.8</v>
      </c>
      <c r="FU12" s="2">
        <v>122.5</v>
      </c>
      <c r="FV12" s="2">
        <v>123.9</v>
      </c>
      <c r="FW12" s="2">
        <v>123.0</v>
      </c>
      <c r="FX12" s="2">
        <v>121.9</v>
      </c>
      <c r="FY12" s="2">
        <v>120.7</v>
      </c>
      <c r="FZ12" s="2">
        <v>121.5</v>
      </c>
      <c r="GA12" s="2">
        <v>119.5</v>
      </c>
      <c r="GB12" s="2">
        <v>117.3</v>
      </c>
      <c r="GC12" s="2">
        <v>118.8</v>
      </c>
      <c r="GD12" s="2">
        <v>117.9</v>
      </c>
      <c r="GE12" s="2">
        <v>115.4</v>
      </c>
      <c r="GF12" s="2">
        <v>117.1</v>
      </c>
      <c r="GG12" s="2">
        <v>117.1</v>
      </c>
      <c r="GH12" s="2">
        <v>114.2</v>
      </c>
      <c r="GI12" s="2">
        <v>116.1</v>
      </c>
      <c r="GJ12" s="2">
        <v>115.2</v>
      </c>
      <c r="GK12" s="2">
        <v>110.6</v>
      </c>
      <c r="GL12" s="2">
        <v>113.7</v>
      </c>
      <c r="GM12" s="2">
        <v>111.8</v>
      </c>
      <c r="GN12" s="2">
        <v>105.3</v>
      </c>
      <c r="GO12" s="2">
        <v>109.6</v>
      </c>
      <c r="GP12" s="2">
        <v>112.4</v>
      </c>
      <c r="GQ12" s="2">
        <v>108.4</v>
      </c>
      <c r="GR12" s="2">
        <v>111.1</v>
      </c>
      <c r="GS12" s="2">
        <v>114.3</v>
      </c>
      <c r="GT12" s="2">
        <v>111.8</v>
      </c>
      <c r="GU12" s="2">
        <v>113.5</v>
      </c>
      <c r="GV12" s="2">
        <v>115.4</v>
      </c>
      <c r="GW12" s="2">
        <v>113.3</v>
      </c>
      <c r="GX12" s="2">
        <v>114.7</v>
      </c>
      <c r="GY12" s="2">
        <v>114.4</v>
      </c>
      <c r="GZ12" s="2">
        <v>112.3</v>
      </c>
      <c r="HA12" s="2">
        <v>113.7</v>
      </c>
      <c r="HB12" s="2">
        <v>112.3</v>
      </c>
      <c r="HC12" s="2">
        <v>112.8</v>
      </c>
      <c r="HD12" s="2">
        <v>111.9</v>
      </c>
      <c r="HE12" s="2">
        <v>111.6</v>
      </c>
      <c r="HF12" s="2">
        <v>112.5</v>
      </c>
      <c r="HG12" s="2">
        <v>111.9</v>
      </c>
      <c r="HH12" s="2">
        <v>109.9</v>
      </c>
      <c r="HI12" s="2">
        <v>111.0</v>
      </c>
      <c r="HJ12" s="2">
        <v>110.3</v>
      </c>
      <c r="HK12" s="2">
        <v>108.4</v>
      </c>
      <c r="HL12" s="2">
        <v>110.4</v>
      </c>
      <c r="HM12" s="2">
        <v>109.1</v>
      </c>
      <c r="HN12" s="2">
        <v>108.3</v>
      </c>
      <c r="HO12" s="2">
        <v>110.4</v>
      </c>
      <c r="HP12" s="2">
        <v>109.0</v>
      </c>
      <c r="HQ12" s="2">
        <v>108.3</v>
      </c>
      <c r="HR12" s="2">
        <v>110.4</v>
      </c>
      <c r="HS12" s="2">
        <v>109.0</v>
      </c>
      <c r="HT12" s="2">
        <v>109.3</v>
      </c>
      <c r="HU12" s="2">
        <v>111.2</v>
      </c>
      <c r="HV12" s="2">
        <v>109.9</v>
      </c>
      <c r="HW12" s="2">
        <v>110.6</v>
      </c>
      <c r="HX12" s="2">
        <v>111.8</v>
      </c>
      <c r="HY12" s="2">
        <v>111.0</v>
      </c>
      <c r="HZ12" s="2">
        <v>110.8</v>
      </c>
      <c r="IA12" s="2">
        <v>111.8</v>
      </c>
      <c r="IB12" s="2">
        <v>111.1</v>
      </c>
      <c r="IC12" s="2">
        <v>111.7</v>
      </c>
      <c r="ID12" s="2">
        <v>112.7</v>
      </c>
      <c r="IE12" s="2">
        <v>112.0</v>
      </c>
      <c r="IF12" s="2">
        <v>112.8</v>
      </c>
      <c r="IG12" s="2">
        <v>114.0</v>
      </c>
      <c r="IH12" s="2">
        <v>113.2</v>
      </c>
      <c r="II12" s="2">
        <v>113.6</v>
      </c>
      <c r="IJ12" s="2">
        <v>114.8</v>
      </c>
      <c r="IK12" s="2">
        <v>114.0</v>
      </c>
      <c r="IL12" s="2">
        <v>113.8</v>
      </c>
      <c r="IM12" s="2">
        <v>115.0</v>
      </c>
      <c r="IN12" s="2">
        <v>114.2</v>
      </c>
      <c r="IO12" s="2">
        <v>113.6</v>
      </c>
      <c r="IP12" s="2">
        <v>114.7</v>
      </c>
      <c r="IQ12" s="2">
        <v>114.0</v>
      </c>
      <c r="IR12" s="2">
        <v>113.8</v>
      </c>
      <c r="IS12" s="2">
        <v>114.8</v>
      </c>
      <c r="IT12" s="2">
        <v>114.1</v>
      </c>
      <c r="IU12" s="2">
        <v>113.1</v>
      </c>
      <c r="IV12" s="2">
        <v>114.6</v>
      </c>
      <c r="IW12" s="2">
        <v>113.6</v>
      </c>
      <c r="IX12" s="2">
        <v>112.6</v>
      </c>
      <c r="IY12" s="2">
        <v>114.4</v>
      </c>
      <c r="IZ12" s="2">
        <v>113.2</v>
      </c>
      <c r="JA12" s="2">
        <v>119.8</v>
      </c>
      <c r="JB12" s="2">
        <v>121.2</v>
      </c>
      <c r="JC12" s="2">
        <v>120.3</v>
      </c>
      <c r="JD12" s="2" t="s">
        <v>32</v>
      </c>
      <c r="JE12" s="2" t="s">
        <v>32</v>
      </c>
      <c r="JF12" s="2" t="s">
        <v>32</v>
      </c>
      <c r="JG12" s="2">
        <v>113.2</v>
      </c>
      <c r="JH12" s="2">
        <v>116.3</v>
      </c>
      <c r="JI12" s="2">
        <v>114.2</v>
      </c>
      <c r="JJ12" s="2">
        <v>113.2</v>
      </c>
      <c r="JK12" s="2">
        <v>116.3</v>
      </c>
      <c r="JL12" s="2">
        <v>114.2</v>
      </c>
      <c r="JM12" s="2">
        <v>114.2</v>
      </c>
      <c r="JN12" s="2">
        <v>116.8</v>
      </c>
      <c r="JO12" s="2">
        <v>115.1</v>
      </c>
      <c r="JP12" s="2">
        <v>115.1</v>
      </c>
      <c r="JQ12" s="2">
        <v>118.9</v>
      </c>
      <c r="JR12" s="2">
        <v>116.4</v>
      </c>
      <c r="JS12" s="2">
        <v>115.3</v>
      </c>
      <c r="JT12" s="2">
        <v>118.1</v>
      </c>
      <c r="JU12" s="2">
        <v>116.2</v>
      </c>
      <c r="JV12" s="2">
        <v>114.9</v>
      </c>
      <c r="JW12" s="2">
        <v>117.2</v>
      </c>
      <c r="JX12" s="2">
        <v>115.7</v>
      </c>
      <c r="JY12" s="2">
        <v>114.4</v>
      </c>
      <c r="JZ12" s="2">
        <v>117.1</v>
      </c>
      <c r="KA12" s="2">
        <v>115.3</v>
      </c>
      <c r="KB12" s="2">
        <v>113.8</v>
      </c>
      <c r="KC12" s="2">
        <v>116.3</v>
      </c>
      <c r="KD12" s="2">
        <v>114.6</v>
      </c>
      <c r="KE12" s="2">
        <v>111.8</v>
      </c>
      <c r="KF12" s="2">
        <v>114.9</v>
      </c>
      <c r="KG12" s="2">
        <v>112.8</v>
      </c>
      <c r="KH12" s="2">
        <v>111.7</v>
      </c>
      <c r="KI12" s="2">
        <v>114.3</v>
      </c>
      <c r="KJ12" s="2">
        <v>112.6</v>
      </c>
      <c r="KK12" s="2">
        <v>112.2</v>
      </c>
      <c r="KL12" s="2">
        <v>114.8</v>
      </c>
      <c r="KM12" s="2">
        <v>113.1</v>
      </c>
      <c r="KN12" s="2">
        <v>114.3</v>
      </c>
      <c r="KO12" s="2">
        <v>115.9</v>
      </c>
      <c r="KP12" s="2">
        <v>114.8</v>
      </c>
      <c r="KQ12" s="2">
        <v>114.6</v>
      </c>
      <c r="KR12" s="2">
        <v>116.1</v>
      </c>
      <c r="KS12" s="2">
        <v>115.1</v>
      </c>
      <c r="KT12" s="2">
        <v>113.9</v>
      </c>
      <c r="KU12" s="2">
        <v>115.7</v>
      </c>
      <c r="KV12" s="2">
        <v>114.5</v>
      </c>
      <c r="KW12" s="2">
        <v>115.2</v>
      </c>
      <c r="KX12" s="2">
        <v>120.4</v>
      </c>
      <c r="KY12" s="2">
        <v>119.7</v>
      </c>
      <c r="KZ12" s="2">
        <v>119.3</v>
      </c>
      <c r="LA12" s="2">
        <v>120.4</v>
      </c>
      <c r="LB12" s="2">
        <v>119.7</v>
      </c>
      <c r="LC12" s="2">
        <v>121.6</v>
      </c>
      <c r="LD12" s="2">
        <v>122.5</v>
      </c>
      <c r="LE12" s="2">
        <v>121.9</v>
      </c>
      <c r="LF12" s="2">
        <v>122.1</v>
      </c>
      <c r="LG12" s="2">
        <v>123.1</v>
      </c>
      <c r="LH12" s="2">
        <v>122.4</v>
      </c>
      <c r="LI12" s="2">
        <v>120.6</v>
      </c>
      <c r="LJ12" s="2">
        <v>121.9</v>
      </c>
      <c r="LK12" s="2">
        <v>121.0</v>
      </c>
      <c r="LL12" s="2">
        <v>119.3</v>
      </c>
      <c r="LM12" s="2">
        <v>121.3</v>
      </c>
      <c r="LN12" s="2">
        <v>120.0</v>
      </c>
      <c r="LO12" s="2">
        <v>118.1</v>
      </c>
      <c r="LP12" s="2">
        <v>120.6</v>
      </c>
      <c r="LQ12" s="2">
        <v>118.9</v>
      </c>
      <c r="LR12" s="2">
        <v>118.1</v>
      </c>
      <c r="LS12" s="2">
        <v>120.3</v>
      </c>
      <c r="LT12" s="2">
        <v>118.8</v>
      </c>
      <c r="LU12" s="2">
        <v>118.2</v>
      </c>
      <c r="LV12" s="2">
        <v>120.5</v>
      </c>
      <c r="LW12" s="2">
        <v>119.0</v>
      </c>
      <c r="LX12" s="2">
        <v>118.9</v>
      </c>
      <c r="LY12" s="2">
        <v>121.2</v>
      </c>
      <c r="LZ12" s="2">
        <v>119.7</v>
      </c>
      <c r="MA12" s="2">
        <v>119.1</v>
      </c>
      <c r="MB12" s="2">
        <v>121.4</v>
      </c>
      <c r="MC12" s="2">
        <v>119.9</v>
      </c>
      <c r="MD12" s="2">
        <v>119.2</v>
      </c>
      <c r="ME12" s="2">
        <v>121.5</v>
      </c>
      <c r="MF12" s="2">
        <v>120.0</v>
      </c>
      <c r="MG12" s="2">
        <v>120.2</v>
      </c>
      <c r="MH12" s="2">
        <v>122.2</v>
      </c>
      <c r="MI12" s="2">
        <v>120.9</v>
      </c>
      <c r="MJ12" s="2">
        <v>120.8</v>
      </c>
      <c r="MK12" s="2">
        <v>123.1</v>
      </c>
      <c r="ML12" s="2">
        <v>121.6</v>
      </c>
      <c r="MM12" s="2">
        <v>121.1</v>
      </c>
      <c r="MN12" s="2">
        <v>123.4</v>
      </c>
      <c r="MO12" s="2">
        <v>121.9</v>
      </c>
      <c r="MP12" s="2">
        <v>121.5</v>
      </c>
      <c r="MQ12" s="2">
        <v>123.4</v>
      </c>
      <c r="MR12" s="2">
        <v>122.1</v>
      </c>
      <c r="MS12" s="2">
        <v>121.2</v>
      </c>
      <c r="MT12" s="2">
        <v>123.1</v>
      </c>
      <c r="MU12" s="2">
        <v>121.8</v>
      </c>
      <c r="MV12" s="2">
        <v>120.3</v>
      </c>
      <c r="MW12" s="2">
        <v>122.7</v>
      </c>
      <c r="MX12" s="2">
        <v>121.1</v>
      </c>
      <c r="MY12" s="2">
        <v>119.1</v>
      </c>
      <c r="MZ12" s="2">
        <v>121.9</v>
      </c>
      <c r="NA12" s="2">
        <v>120.0</v>
      </c>
      <c r="NB12" s="2">
        <v>119.1</v>
      </c>
      <c r="NC12" s="2">
        <v>121.9</v>
      </c>
      <c r="ND12" s="2">
        <v>120.0</v>
      </c>
      <c r="NE12" s="2">
        <v>120.4</v>
      </c>
      <c r="NF12" s="2">
        <v>123.1</v>
      </c>
      <c r="NG12" s="2">
        <v>121.3</v>
      </c>
      <c r="NH12" s="2">
        <v>121.9</v>
      </c>
      <c r="NI12" s="2">
        <v>124.2</v>
      </c>
      <c r="NJ12" s="2">
        <v>122.7</v>
      </c>
    </row>
    <row r="13">
      <c r="A13" s="2" t="s">
        <v>12</v>
      </c>
      <c r="B13" s="2" t="str">
        <f>VLOOKUP(A13, NOTES!C14:D39, 2,0)</f>
        <v>Food</v>
      </c>
      <c r="C13" s="2">
        <v>103.1</v>
      </c>
      <c r="D13" s="2">
        <v>101.8</v>
      </c>
      <c r="E13" s="2">
        <v>102.7</v>
      </c>
      <c r="F13" s="2">
        <v>103.1</v>
      </c>
      <c r="G13" s="2">
        <v>102.3</v>
      </c>
      <c r="H13" s="2">
        <v>102.8</v>
      </c>
      <c r="I13" s="2">
        <v>103.3</v>
      </c>
      <c r="J13" s="2">
        <v>102.4</v>
      </c>
      <c r="K13" s="2">
        <v>103.0</v>
      </c>
      <c r="L13" s="2">
        <v>103.2</v>
      </c>
      <c r="M13" s="2">
        <v>103.5</v>
      </c>
      <c r="N13" s="2">
        <v>103.3</v>
      </c>
      <c r="O13" s="2">
        <v>104.0</v>
      </c>
      <c r="P13" s="2">
        <v>105.0</v>
      </c>
      <c r="Q13" s="2">
        <v>104.3</v>
      </c>
      <c r="R13" s="2">
        <v>105.4</v>
      </c>
      <c r="S13" s="2">
        <v>106.4</v>
      </c>
      <c r="T13" s="2">
        <v>105.7</v>
      </c>
      <c r="U13" s="2">
        <v>106.4</v>
      </c>
      <c r="V13" s="2">
        <v>107.5</v>
      </c>
      <c r="W13" s="2">
        <v>106.8</v>
      </c>
      <c r="X13" s="2">
        <v>106.9</v>
      </c>
      <c r="Y13" s="2">
        <v>108.5</v>
      </c>
      <c r="Z13" s="2">
        <v>107.4</v>
      </c>
      <c r="AA13" s="2">
        <v>107.9</v>
      </c>
      <c r="AB13" s="2">
        <v>109.1</v>
      </c>
      <c r="AC13" s="2">
        <v>108.3</v>
      </c>
      <c r="AD13" s="2">
        <v>108.2</v>
      </c>
      <c r="AE13" s="2">
        <v>109.6</v>
      </c>
      <c r="AF13" s="2">
        <v>108.7</v>
      </c>
      <c r="AG13" s="2">
        <v>109.0</v>
      </c>
      <c r="AH13" s="2">
        <v>110.3</v>
      </c>
      <c r="AI13" s="2">
        <v>109.4</v>
      </c>
      <c r="AJ13" s="2">
        <v>109.8</v>
      </c>
      <c r="AK13" s="2">
        <v>111.9</v>
      </c>
      <c r="AL13" s="2">
        <v>110.5</v>
      </c>
      <c r="AM13" s="2">
        <v>110.2</v>
      </c>
      <c r="AN13" s="2">
        <v>112.7</v>
      </c>
      <c r="AO13" s="2">
        <v>111.0</v>
      </c>
      <c r="AP13" s="2">
        <v>110.4</v>
      </c>
      <c r="AQ13" s="2">
        <v>113.5</v>
      </c>
      <c r="AR13" s="2">
        <v>111.4</v>
      </c>
      <c r="AS13" s="2">
        <v>110.7</v>
      </c>
      <c r="AT13" s="2">
        <v>114.1</v>
      </c>
      <c r="AU13" s="2">
        <v>111.8</v>
      </c>
      <c r="AV13" s="2">
        <v>111.2</v>
      </c>
      <c r="AW13" s="2">
        <v>115.3</v>
      </c>
      <c r="AX13" s="2">
        <v>112.6</v>
      </c>
      <c r="AY13" s="2">
        <v>111.6</v>
      </c>
      <c r="AZ13" s="2">
        <v>117.0</v>
      </c>
      <c r="BA13" s="2">
        <v>113.4</v>
      </c>
      <c r="BB13" s="2">
        <v>112.3</v>
      </c>
      <c r="BC13" s="2">
        <v>118.3</v>
      </c>
      <c r="BD13" s="2">
        <v>114.3</v>
      </c>
      <c r="BE13" s="2">
        <v>113.3</v>
      </c>
      <c r="BF13" s="2">
        <v>120.0</v>
      </c>
      <c r="BG13" s="2">
        <v>115.5</v>
      </c>
      <c r="BH13" s="2">
        <v>114.6</v>
      </c>
      <c r="BI13" s="2">
        <v>122.1</v>
      </c>
      <c r="BJ13" s="2">
        <v>117.1</v>
      </c>
      <c r="BK13" s="2">
        <v>114.9</v>
      </c>
      <c r="BL13" s="2">
        <v>122.9</v>
      </c>
      <c r="BM13" s="2">
        <v>117.6</v>
      </c>
      <c r="BN13" s="2">
        <v>115.3</v>
      </c>
      <c r="BO13" s="2">
        <v>123.8</v>
      </c>
      <c r="BP13" s="2">
        <v>118.1</v>
      </c>
      <c r="BQ13" s="2">
        <v>115.8</v>
      </c>
      <c r="BR13" s="2">
        <v>124.6</v>
      </c>
      <c r="BS13" s="2">
        <v>118.7</v>
      </c>
      <c r="BT13" s="2">
        <v>116.0</v>
      </c>
      <c r="BU13" s="2">
        <v>125.4</v>
      </c>
      <c r="BV13" s="2">
        <v>119.1</v>
      </c>
      <c r="BW13" s="2">
        <v>117.2</v>
      </c>
      <c r="BX13" s="2">
        <v>126.6</v>
      </c>
      <c r="BY13" s="2">
        <v>120.3</v>
      </c>
      <c r="BZ13" s="2">
        <v>118.6</v>
      </c>
      <c r="CA13" s="2">
        <v>127.7</v>
      </c>
      <c r="CB13" s="2">
        <v>121.6</v>
      </c>
      <c r="CC13" s="2">
        <v>119.4</v>
      </c>
      <c r="CD13" s="2">
        <v>127.4</v>
      </c>
      <c r="CE13" s="2">
        <v>122.1</v>
      </c>
      <c r="CF13" s="2">
        <v>119.8</v>
      </c>
      <c r="CG13" s="2">
        <v>127.7</v>
      </c>
      <c r="CH13" s="2">
        <v>122.4</v>
      </c>
      <c r="CI13" s="2">
        <v>120.7</v>
      </c>
      <c r="CJ13" s="2">
        <v>128.8</v>
      </c>
      <c r="CK13" s="2">
        <v>123.4</v>
      </c>
      <c r="CL13" s="2">
        <v>123.0</v>
      </c>
      <c r="CM13" s="2">
        <v>130.5</v>
      </c>
      <c r="CN13" s="2">
        <v>125.5</v>
      </c>
      <c r="CO13" s="2">
        <v>123.4</v>
      </c>
      <c r="CP13" s="2">
        <v>131.5</v>
      </c>
      <c r="CQ13" s="2">
        <v>126.1</v>
      </c>
      <c r="CR13" s="2">
        <v>123.9</v>
      </c>
      <c r="CS13" s="2">
        <v>132.7</v>
      </c>
      <c r="CT13" s="2">
        <v>126.8</v>
      </c>
      <c r="CU13" s="2">
        <v>125.4</v>
      </c>
      <c r="CV13" s="2">
        <v>134.4</v>
      </c>
      <c r="CW13" s="2">
        <v>128.4</v>
      </c>
      <c r="CX13" s="2">
        <v>126.6</v>
      </c>
      <c r="CY13" s="2">
        <v>135.8</v>
      </c>
      <c r="CZ13" s="2">
        <v>129.7</v>
      </c>
      <c r="DA13" s="2">
        <v>128.3</v>
      </c>
      <c r="DB13" s="2">
        <v>137.1</v>
      </c>
      <c r="DC13" s="2">
        <v>131.2</v>
      </c>
      <c r="DD13" s="2">
        <v>128.9</v>
      </c>
      <c r="DE13" s="2">
        <v>138.6</v>
      </c>
      <c r="DF13" s="2">
        <v>132.1</v>
      </c>
      <c r="DG13" s="2">
        <v>129.6</v>
      </c>
      <c r="DH13" s="2">
        <v>139.5</v>
      </c>
      <c r="DI13" s="2">
        <v>132.9</v>
      </c>
      <c r="DJ13" s="2">
        <v>130.6</v>
      </c>
      <c r="DK13" s="2">
        <v>139.7</v>
      </c>
      <c r="DL13" s="2">
        <v>133.6</v>
      </c>
      <c r="DM13" s="2">
        <v>130.8</v>
      </c>
      <c r="DN13" s="2">
        <v>140.1</v>
      </c>
      <c r="DO13" s="2">
        <v>133.9</v>
      </c>
      <c r="DP13" s="2">
        <v>131.4</v>
      </c>
      <c r="DQ13" s="2">
        <v>140.4</v>
      </c>
      <c r="DR13" s="2">
        <v>134.4</v>
      </c>
      <c r="DS13" s="2">
        <v>132.2</v>
      </c>
      <c r="DT13" s="2">
        <v>141.5</v>
      </c>
      <c r="DU13" s="2">
        <v>135.3</v>
      </c>
      <c r="DV13" s="2">
        <v>133.1</v>
      </c>
      <c r="DW13" s="2">
        <v>142.8</v>
      </c>
      <c r="DX13" s="2">
        <v>136.3</v>
      </c>
      <c r="DY13" s="2">
        <v>134.3</v>
      </c>
      <c r="DZ13" s="2">
        <v>143.9</v>
      </c>
      <c r="EA13" s="2">
        <v>137.5</v>
      </c>
      <c r="EB13" s="2">
        <v>134.9</v>
      </c>
      <c r="EC13" s="2">
        <v>144.6</v>
      </c>
      <c r="ED13" s="2">
        <v>138.1</v>
      </c>
      <c r="EE13" s="2">
        <v>135.8</v>
      </c>
      <c r="EF13" s="2">
        <v>144.8</v>
      </c>
      <c r="EG13" s="2">
        <v>138.8</v>
      </c>
      <c r="EH13" s="2">
        <v>136.3</v>
      </c>
      <c r="EI13" s="2">
        <v>145.3</v>
      </c>
      <c r="EJ13" s="2">
        <v>139.3</v>
      </c>
      <c r="EK13" s="2">
        <v>136.8</v>
      </c>
      <c r="EL13" s="2">
        <v>145.4</v>
      </c>
      <c r="EM13" s="2">
        <v>139.7</v>
      </c>
      <c r="EN13" s="2">
        <v>137.5</v>
      </c>
      <c r="EO13" s="2">
        <v>145.5</v>
      </c>
      <c r="EP13" s="2">
        <v>140.2</v>
      </c>
      <c r="EQ13" s="2">
        <v>136.9</v>
      </c>
      <c r="ER13" s="2">
        <v>144.9</v>
      </c>
      <c r="ES13" s="2">
        <v>139.6</v>
      </c>
      <c r="ET13" s="2">
        <v>136.0</v>
      </c>
      <c r="EU13" s="2">
        <v>144.0</v>
      </c>
      <c r="EV13" s="2">
        <v>138.7</v>
      </c>
      <c r="EW13" s="2">
        <v>135.6</v>
      </c>
      <c r="EX13" s="2">
        <v>142.6</v>
      </c>
      <c r="EY13" s="2">
        <v>137.9</v>
      </c>
      <c r="EZ13" s="2">
        <v>134.1</v>
      </c>
      <c r="FA13" s="2">
        <v>141.3</v>
      </c>
      <c r="FB13" s="2">
        <v>136.5</v>
      </c>
      <c r="FC13" s="2">
        <v>134.0</v>
      </c>
      <c r="FD13" s="2">
        <v>139.9</v>
      </c>
      <c r="FE13" s="2">
        <v>136.0</v>
      </c>
      <c r="FF13" s="2">
        <v>133.5</v>
      </c>
      <c r="FG13" s="2">
        <v>138.8</v>
      </c>
      <c r="FH13" s="2">
        <v>135.3</v>
      </c>
      <c r="FI13" s="2">
        <v>133.9</v>
      </c>
      <c r="FJ13" s="2">
        <v>137.8</v>
      </c>
      <c r="FK13" s="2">
        <v>135.2</v>
      </c>
      <c r="FL13" s="2">
        <v>134.7</v>
      </c>
      <c r="FM13" s="2">
        <v>137.5</v>
      </c>
      <c r="FN13" s="2">
        <v>135.6</v>
      </c>
      <c r="FO13" s="2">
        <v>134.7</v>
      </c>
      <c r="FP13" s="2">
        <v>137.3</v>
      </c>
      <c r="FQ13" s="2">
        <v>135.6</v>
      </c>
      <c r="FR13" s="2">
        <v>135.6</v>
      </c>
      <c r="FS13" s="2">
        <v>137.8</v>
      </c>
      <c r="FT13" s="2">
        <v>136.3</v>
      </c>
      <c r="FU13" s="2">
        <v>136.0</v>
      </c>
      <c r="FV13" s="2">
        <v>138.3</v>
      </c>
      <c r="FW13" s="2">
        <v>136.8</v>
      </c>
      <c r="FX13" s="2">
        <v>135.8</v>
      </c>
      <c r="FY13" s="2">
        <v>139.7</v>
      </c>
      <c r="FZ13" s="2">
        <v>137.1</v>
      </c>
      <c r="GA13" s="2">
        <v>136.0</v>
      </c>
      <c r="GB13" s="2">
        <v>140.5</v>
      </c>
      <c r="GC13" s="2">
        <v>137.5</v>
      </c>
      <c r="GD13" s="2">
        <v>135.6</v>
      </c>
      <c r="GE13" s="2">
        <v>140.7</v>
      </c>
      <c r="GF13" s="2">
        <v>137.3</v>
      </c>
      <c r="GG13" s="2">
        <v>136.3</v>
      </c>
      <c r="GH13" s="2">
        <v>140.7</v>
      </c>
      <c r="GI13" s="2">
        <v>137.8</v>
      </c>
      <c r="GJ13" s="2">
        <v>137.2</v>
      </c>
      <c r="GK13" s="2">
        <v>140.2</v>
      </c>
      <c r="GL13" s="2">
        <v>138.2</v>
      </c>
      <c r="GM13" s="2">
        <v>137.4</v>
      </c>
      <c r="GN13" s="2">
        <v>139.6</v>
      </c>
      <c r="GO13" s="2">
        <v>138.1</v>
      </c>
      <c r="GP13" s="2">
        <v>137.6</v>
      </c>
      <c r="GQ13" s="2">
        <v>140.0</v>
      </c>
      <c r="GR13" s="2">
        <v>138.4</v>
      </c>
      <c r="GS13" s="2">
        <v>138.2</v>
      </c>
      <c r="GT13" s="2">
        <v>140.3</v>
      </c>
      <c r="GU13" s="2">
        <v>138.9</v>
      </c>
      <c r="GV13" s="2">
        <v>138.6</v>
      </c>
      <c r="GW13" s="2">
        <v>141.1</v>
      </c>
      <c r="GX13" s="2">
        <v>139.4</v>
      </c>
      <c r="GY13" s="2">
        <v>138.7</v>
      </c>
      <c r="GZ13" s="2">
        <v>141.2</v>
      </c>
      <c r="HA13" s="2">
        <v>139.5</v>
      </c>
      <c r="HB13" s="2">
        <v>139.5</v>
      </c>
      <c r="HC13" s="2">
        <v>141.1</v>
      </c>
      <c r="HD13" s="2">
        <v>141.0</v>
      </c>
      <c r="HE13" s="2">
        <v>140.6</v>
      </c>
      <c r="HF13" s="2">
        <v>141.4</v>
      </c>
      <c r="HG13" s="2">
        <v>140.9</v>
      </c>
      <c r="HH13" s="2">
        <v>140.2</v>
      </c>
      <c r="HI13" s="2">
        <v>141.5</v>
      </c>
      <c r="HJ13" s="2">
        <v>140.6</v>
      </c>
      <c r="HK13" s="2">
        <v>138.9</v>
      </c>
      <c r="HL13" s="2">
        <v>140.4</v>
      </c>
      <c r="HM13" s="2">
        <v>139.4</v>
      </c>
      <c r="HN13" s="2">
        <v>139.2</v>
      </c>
      <c r="HO13" s="2">
        <v>140.8</v>
      </c>
      <c r="HP13" s="2">
        <v>139.7</v>
      </c>
      <c r="HQ13" s="2">
        <v>138.9</v>
      </c>
      <c r="HR13" s="2">
        <v>140.7</v>
      </c>
      <c r="HS13" s="2">
        <v>139.5</v>
      </c>
      <c r="HT13" s="2">
        <v>139.3</v>
      </c>
      <c r="HU13" s="2">
        <v>141.0</v>
      </c>
      <c r="HV13" s="2">
        <v>139.9</v>
      </c>
      <c r="HW13" s="2">
        <v>140.4</v>
      </c>
      <c r="HX13" s="2">
        <v>141.0</v>
      </c>
      <c r="HY13" s="2">
        <v>140.6</v>
      </c>
      <c r="HZ13" s="2">
        <v>141.7</v>
      </c>
      <c r="IA13" s="2">
        <v>141.6</v>
      </c>
      <c r="IB13" s="2">
        <v>141.7</v>
      </c>
      <c r="IC13" s="2">
        <v>142.7</v>
      </c>
      <c r="ID13" s="2">
        <v>142.5</v>
      </c>
      <c r="IE13" s="2">
        <v>142.6</v>
      </c>
      <c r="IF13" s="2">
        <v>144.2</v>
      </c>
      <c r="IG13" s="2">
        <v>143.8</v>
      </c>
      <c r="IH13" s="2">
        <v>144.1</v>
      </c>
      <c r="II13" s="2">
        <v>145.5</v>
      </c>
      <c r="IJ13" s="2">
        <v>145.2</v>
      </c>
      <c r="IK13" s="2">
        <v>145.4</v>
      </c>
      <c r="IL13" s="2">
        <v>147.3</v>
      </c>
      <c r="IM13" s="2">
        <v>146.3</v>
      </c>
      <c r="IN13" s="2">
        <v>147.0</v>
      </c>
      <c r="IO13" s="2">
        <v>149.1</v>
      </c>
      <c r="IP13" s="2">
        <v>148.0</v>
      </c>
      <c r="IQ13" s="2">
        <v>148.7</v>
      </c>
      <c r="IR13" s="2">
        <v>151.6</v>
      </c>
      <c r="IS13" s="2">
        <v>149.5</v>
      </c>
      <c r="IT13" s="2">
        <v>150.9</v>
      </c>
      <c r="IU13" s="2">
        <v>152.8</v>
      </c>
      <c r="IV13" s="2">
        <v>150.4</v>
      </c>
      <c r="IW13" s="2">
        <v>152.0</v>
      </c>
      <c r="IX13" s="2">
        <v>154.0</v>
      </c>
      <c r="IY13" s="2">
        <v>151.5</v>
      </c>
      <c r="IZ13" s="2">
        <v>153.2</v>
      </c>
      <c r="JA13" s="2">
        <v>158.7</v>
      </c>
      <c r="JB13" s="2">
        <v>154.0</v>
      </c>
      <c r="JC13" s="2">
        <v>157.1</v>
      </c>
      <c r="JD13" s="2" t="s">
        <v>32</v>
      </c>
      <c r="JE13" s="2" t="s">
        <v>32</v>
      </c>
      <c r="JF13" s="2" t="s">
        <v>32</v>
      </c>
      <c r="JG13" s="2">
        <v>159.8</v>
      </c>
      <c r="JH13" s="2">
        <v>158.8</v>
      </c>
      <c r="JI13" s="2">
        <v>159.5</v>
      </c>
      <c r="JJ13" s="2">
        <v>159.8</v>
      </c>
      <c r="JK13" s="2">
        <v>158.8</v>
      </c>
      <c r="JL13" s="2">
        <v>159.5</v>
      </c>
      <c r="JM13" s="2">
        <v>160.0</v>
      </c>
      <c r="JN13" s="2">
        <v>160.0</v>
      </c>
      <c r="JO13" s="2">
        <v>160.0</v>
      </c>
      <c r="JP13" s="2">
        <v>160.0</v>
      </c>
      <c r="JQ13" s="2">
        <v>160.9</v>
      </c>
      <c r="JR13" s="2">
        <v>160.3</v>
      </c>
      <c r="JS13" s="2">
        <v>160.9</v>
      </c>
      <c r="JT13" s="2">
        <v>161.3</v>
      </c>
      <c r="JU13" s="2">
        <v>161.0</v>
      </c>
      <c r="JV13" s="2">
        <v>162.0</v>
      </c>
      <c r="JW13" s="2">
        <v>161.4</v>
      </c>
      <c r="JX13" s="2">
        <v>161.8</v>
      </c>
      <c r="JY13" s="2">
        <v>163.5</v>
      </c>
      <c r="JZ13" s="2">
        <v>161.9</v>
      </c>
      <c r="KA13" s="2">
        <v>163.0</v>
      </c>
      <c r="KB13" s="2">
        <v>164.5</v>
      </c>
      <c r="KC13" s="2">
        <v>163.0</v>
      </c>
      <c r="KD13" s="2">
        <v>164.0</v>
      </c>
      <c r="KE13" s="2">
        <v>165.0</v>
      </c>
      <c r="KF13" s="2">
        <v>162.5</v>
      </c>
      <c r="KG13" s="2">
        <v>164.2</v>
      </c>
      <c r="KH13" s="2">
        <v>164.0</v>
      </c>
      <c r="KI13" s="2">
        <v>162.6</v>
      </c>
      <c r="KJ13" s="2">
        <v>163.5</v>
      </c>
      <c r="KK13" s="2">
        <v>164.4</v>
      </c>
      <c r="KL13" s="2">
        <v>162.8</v>
      </c>
      <c r="KM13" s="2">
        <v>163.9</v>
      </c>
      <c r="KN13" s="2">
        <v>169.7</v>
      </c>
      <c r="KO13" s="2">
        <v>165.2</v>
      </c>
      <c r="KP13" s="2">
        <v>168.2</v>
      </c>
      <c r="KQ13" s="2">
        <v>170.0</v>
      </c>
      <c r="KR13" s="2">
        <v>165.5</v>
      </c>
      <c r="KS13" s="2">
        <v>168.5</v>
      </c>
      <c r="KT13" s="2">
        <v>169.7</v>
      </c>
      <c r="KU13" s="2">
        <v>165.5</v>
      </c>
      <c r="KV13" s="2">
        <v>168.3</v>
      </c>
      <c r="KW13" s="2">
        <v>169.8</v>
      </c>
      <c r="KX13" s="2">
        <v>166.2</v>
      </c>
      <c r="KY13" s="2">
        <v>168.8</v>
      </c>
      <c r="KZ13" s="2">
        <v>170.1</v>
      </c>
      <c r="LA13" s="2">
        <v>166.2</v>
      </c>
      <c r="LB13" s="2">
        <v>168.8</v>
      </c>
      <c r="LC13" s="2">
        <v>170.6</v>
      </c>
      <c r="LD13" s="2">
        <v>166.8</v>
      </c>
      <c r="LE13" s="2">
        <v>169.3</v>
      </c>
      <c r="LF13" s="2">
        <v>170.8</v>
      </c>
      <c r="LG13" s="2">
        <v>167.2</v>
      </c>
      <c r="LH13" s="2">
        <v>169.6</v>
      </c>
      <c r="LI13" s="2">
        <v>171.7</v>
      </c>
      <c r="LJ13" s="2">
        <v>168.2</v>
      </c>
      <c r="LK13" s="2">
        <v>170.5</v>
      </c>
      <c r="LL13" s="2">
        <v>173.3</v>
      </c>
      <c r="LM13" s="2">
        <v>169.8</v>
      </c>
      <c r="LN13" s="2">
        <v>172.1</v>
      </c>
      <c r="LO13" s="2">
        <v>175.4</v>
      </c>
      <c r="LP13" s="2">
        <v>172.2</v>
      </c>
      <c r="LQ13" s="2">
        <v>174.3</v>
      </c>
      <c r="LR13" s="2">
        <v>178.7</v>
      </c>
      <c r="LS13" s="2">
        <v>174.7</v>
      </c>
      <c r="LT13" s="2">
        <v>177.4</v>
      </c>
      <c r="LU13" s="2">
        <v>182.9</v>
      </c>
      <c r="LV13" s="2">
        <v>178.0</v>
      </c>
      <c r="LW13" s="2">
        <v>181.3</v>
      </c>
      <c r="LX13" s="2">
        <v>186.6</v>
      </c>
      <c r="LY13" s="2">
        <v>181.4</v>
      </c>
      <c r="LZ13" s="2">
        <v>184.9</v>
      </c>
      <c r="MA13" s="2">
        <v>188.9</v>
      </c>
      <c r="MB13" s="2">
        <v>183.5</v>
      </c>
      <c r="MC13" s="2">
        <v>187.1</v>
      </c>
      <c r="MD13" s="2">
        <v>191.8</v>
      </c>
      <c r="ME13" s="2">
        <v>186.3</v>
      </c>
      <c r="MF13" s="2">
        <v>190.0</v>
      </c>
      <c r="MG13" s="2">
        <v>195.6</v>
      </c>
      <c r="MH13" s="2">
        <v>189.7</v>
      </c>
      <c r="MI13" s="2">
        <v>193.6</v>
      </c>
      <c r="MJ13" s="2">
        <v>199.1</v>
      </c>
      <c r="MK13" s="2">
        <v>193.6</v>
      </c>
      <c r="ML13" s="2">
        <v>197.3</v>
      </c>
      <c r="MM13" s="2">
        <v>201.6</v>
      </c>
      <c r="MN13" s="2">
        <v>196.4</v>
      </c>
      <c r="MO13" s="2">
        <v>199.9</v>
      </c>
      <c r="MP13" s="2">
        <v>204.8</v>
      </c>
      <c r="MQ13" s="2">
        <v>198.8</v>
      </c>
      <c r="MR13" s="2">
        <v>202.8</v>
      </c>
      <c r="MS13" s="2">
        <v>207.5</v>
      </c>
      <c r="MT13" s="2">
        <v>200.5</v>
      </c>
      <c r="MU13" s="2">
        <v>205.2</v>
      </c>
      <c r="MV13" s="2">
        <v>210.5</v>
      </c>
      <c r="MW13" s="2">
        <v>204.3</v>
      </c>
      <c r="MX13" s="2">
        <v>208.4</v>
      </c>
      <c r="MY13" s="2">
        <v>212.1</v>
      </c>
      <c r="MZ13" s="2">
        <v>204.8</v>
      </c>
      <c r="NA13" s="2">
        <v>209.7</v>
      </c>
      <c r="NB13" s="2">
        <v>212.1</v>
      </c>
      <c r="NC13" s="2">
        <v>204.8</v>
      </c>
      <c r="ND13" s="2">
        <v>209.7</v>
      </c>
      <c r="NE13" s="2">
        <v>215.5</v>
      </c>
      <c r="NF13" s="2">
        <v>207.8</v>
      </c>
      <c r="NG13" s="2">
        <v>212.9</v>
      </c>
      <c r="NH13" s="2">
        <v>221.0</v>
      </c>
      <c r="NI13" s="2">
        <v>211.9</v>
      </c>
      <c r="NJ13" s="2">
        <v>218.0</v>
      </c>
    </row>
    <row r="14">
      <c r="A14" s="2" t="s">
        <v>13</v>
      </c>
      <c r="B14" s="2" t="str">
        <f>VLOOKUP(A14, NOTES!C15:D40, 2,0)</f>
        <v>Beverages and Intoxicants</v>
      </c>
      <c r="C14" s="2">
        <v>104.8</v>
      </c>
      <c r="D14" s="2">
        <v>105.1</v>
      </c>
      <c r="E14" s="2">
        <v>104.9</v>
      </c>
      <c r="F14" s="2">
        <v>105.1</v>
      </c>
      <c r="G14" s="2">
        <v>106.0</v>
      </c>
      <c r="H14" s="2">
        <v>105.5</v>
      </c>
      <c r="I14" s="2">
        <v>105.6</v>
      </c>
      <c r="J14" s="2">
        <v>107.0</v>
      </c>
      <c r="K14" s="2">
        <v>106.2</v>
      </c>
      <c r="L14" s="2">
        <v>106.5</v>
      </c>
      <c r="M14" s="2">
        <v>108.2</v>
      </c>
      <c r="N14" s="2">
        <v>107.2</v>
      </c>
      <c r="O14" s="2">
        <v>107.4</v>
      </c>
      <c r="P14" s="2">
        <v>109.1</v>
      </c>
      <c r="Q14" s="2">
        <v>108.1</v>
      </c>
      <c r="R14" s="2">
        <v>108.2</v>
      </c>
      <c r="S14" s="2">
        <v>110.0</v>
      </c>
      <c r="T14" s="2">
        <v>109.0</v>
      </c>
      <c r="U14" s="2">
        <v>109.1</v>
      </c>
      <c r="V14" s="2">
        <v>110.4</v>
      </c>
      <c r="W14" s="2">
        <v>109.6</v>
      </c>
      <c r="X14" s="2">
        <v>109.7</v>
      </c>
      <c r="Y14" s="2">
        <v>110.9</v>
      </c>
      <c r="Z14" s="2">
        <v>110.2</v>
      </c>
      <c r="AA14" s="2">
        <v>110.4</v>
      </c>
      <c r="AB14" s="2">
        <v>111.1</v>
      </c>
      <c r="AC14" s="2">
        <v>110.7</v>
      </c>
      <c r="AD14" s="2">
        <v>111.1</v>
      </c>
      <c r="AE14" s="2">
        <v>111.4</v>
      </c>
      <c r="AF14" s="2">
        <v>111.2</v>
      </c>
      <c r="AG14" s="2">
        <v>111.8</v>
      </c>
      <c r="AH14" s="2">
        <v>111.8</v>
      </c>
      <c r="AI14" s="2">
        <v>111.8</v>
      </c>
      <c r="AJ14" s="2">
        <v>112.1</v>
      </c>
      <c r="AK14" s="2">
        <v>112.1</v>
      </c>
      <c r="AL14" s="2">
        <v>112.1</v>
      </c>
      <c r="AM14" s="2">
        <v>112.4</v>
      </c>
      <c r="AN14" s="2">
        <v>112.1</v>
      </c>
      <c r="AO14" s="2">
        <v>112.3</v>
      </c>
      <c r="AP14" s="2">
        <v>112.9</v>
      </c>
      <c r="AQ14" s="2">
        <v>112.1</v>
      </c>
      <c r="AR14" s="2">
        <v>112.6</v>
      </c>
      <c r="AS14" s="2">
        <v>113.0</v>
      </c>
      <c r="AT14" s="2">
        <v>112.2</v>
      </c>
      <c r="AU14" s="2">
        <v>112.7</v>
      </c>
      <c r="AV14" s="2">
        <v>113.5</v>
      </c>
      <c r="AW14" s="2">
        <v>112.7</v>
      </c>
      <c r="AX14" s="2">
        <v>113.2</v>
      </c>
      <c r="AY14" s="2">
        <v>114.2</v>
      </c>
      <c r="AZ14" s="2">
        <v>112.9</v>
      </c>
      <c r="BA14" s="2">
        <v>113.7</v>
      </c>
      <c r="BB14" s="2">
        <v>114.9</v>
      </c>
      <c r="BC14" s="2">
        <v>113.2</v>
      </c>
      <c r="BD14" s="2">
        <v>114.2</v>
      </c>
      <c r="BE14" s="2">
        <v>115.6</v>
      </c>
      <c r="BF14" s="2">
        <v>113.8</v>
      </c>
      <c r="BG14" s="2">
        <v>114.8</v>
      </c>
      <c r="BH14" s="2">
        <v>115.8</v>
      </c>
      <c r="BI14" s="2">
        <v>114.4</v>
      </c>
      <c r="BJ14" s="2">
        <v>115.2</v>
      </c>
      <c r="BK14" s="2">
        <v>116.5</v>
      </c>
      <c r="BL14" s="2">
        <v>114.8</v>
      </c>
      <c r="BM14" s="2">
        <v>115.8</v>
      </c>
      <c r="BN14" s="2">
        <v>116.8</v>
      </c>
      <c r="BO14" s="2">
        <v>115.2</v>
      </c>
      <c r="BP14" s="2">
        <v>116.1</v>
      </c>
      <c r="BQ14" s="2">
        <v>116.8</v>
      </c>
      <c r="BR14" s="2">
        <v>115.8</v>
      </c>
      <c r="BS14" s="2">
        <v>116.4</v>
      </c>
      <c r="BT14" s="2">
        <v>117.3</v>
      </c>
      <c r="BU14" s="2">
        <v>116.1</v>
      </c>
      <c r="BV14" s="2">
        <v>116.8</v>
      </c>
      <c r="BW14" s="2">
        <v>117.9</v>
      </c>
      <c r="BX14" s="2">
        <v>116.5</v>
      </c>
      <c r="BY14" s="2">
        <v>117.3</v>
      </c>
      <c r="BZ14" s="2">
        <v>118.8</v>
      </c>
      <c r="CA14" s="2">
        <v>116.8</v>
      </c>
      <c r="CB14" s="2">
        <v>118.0</v>
      </c>
      <c r="CC14" s="2">
        <v>118.9</v>
      </c>
      <c r="CD14" s="2">
        <v>117.0</v>
      </c>
      <c r="CE14" s="2">
        <v>118.1</v>
      </c>
      <c r="CF14" s="2">
        <v>119.4</v>
      </c>
      <c r="CG14" s="2">
        <v>117.2</v>
      </c>
      <c r="CH14" s="2">
        <v>118.5</v>
      </c>
      <c r="CI14" s="2">
        <v>120.2</v>
      </c>
      <c r="CJ14" s="2">
        <v>117.7</v>
      </c>
      <c r="CK14" s="2">
        <v>119.2</v>
      </c>
      <c r="CL14" s="2">
        <v>121.1</v>
      </c>
      <c r="CM14" s="2">
        <v>118.0</v>
      </c>
      <c r="CN14" s="2">
        <v>119.8</v>
      </c>
      <c r="CO14" s="2">
        <v>121.0</v>
      </c>
      <c r="CP14" s="2">
        <v>118.3</v>
      </c>
      <c r="CQ14" s="2">
        <v>119.9</v>
      </c>
      <c r="CR14" s="2">
        <v>121.5</v>
      </c>
      <c r="CS14" s="2">
        <v>118.8</v>
      </c>
      <c r="CT14" s="2">
        <v>120.4</v>
      </c>
      <c r="CU14" s="2">
        <v>121.9</v>
      </c>
      <c r="CV14" s="2">
        <v>119.1</v>
      </c>
      <c r="CW14" s="2">
        <v>120.7</v>
      </c>
      <c r="CX14" s="2">
        <v>122.3</v>
      </c>
      <c r="CY14" s="2">
        <v>119.4</v>
      </c>
      <c r="CZ14" s="2">
        <v>121.1</v>
      </c>
      <c r="DA14" s="2">
        <v>123.1</v>
      </c>
      <c r="DB14" s="2">
        <v>119.8</v>
      </c>
      <c r="DC14" s="2">
        <v>121.7</v>
      </c>
      <c r="DD14" s="2">
        <v>123.3</v>
      </c>
      <c r="DE14" s="2">
        <v>120.2</v>
      </c>
      <c r="DF14" s="2">
        <v>122.0</v>
      </c>
      <c r="DG14" s="2">
        <v>124.3</v>
      </c>
      <c r="DH14" s="2">
        <v>120.5</v>
      </c>
      <c r="DI14" s="2">
        <v>122.7</v>
      </c>
      <c r="DJ14" s="2">
        <v>124.8</v>
      </c>
      <c r="DK14" s="2">
        <v>120.6</v>
      </c>
      <c r="DL14" s="2">
        <v>123.0</v>
      </c>
      <c r="DM14" s="2">
        <v>124.9</v>
      </c>
      <c r="DN14" s="2">
        <v>120.7</v>
      </c>
      <c r="DO14" s="2">
        <v>123.1</v>
      </c>
      <c r="DP14" s="2">
        <v>125.4</v>
      </c>
      <c r="DQ14" s="2">
        <v>121.1</v>
      </c>
      <c r="DR14" s="2">
        <v>123.6</v>
      </c>
      <c r="DS14" s="2">
        <v>126.1</v>
      </c>
      <c r="DT14" s="2">
        <v>121.5</v>
      </c>
      <c r="DU14" s="2">
        <v>124.2</v>
      </c>
      <c r="DV14" s="2">
        <v>126.4</v>
      </c>
      <c r="DW14" s="2">
        <v>121.6</v>
      </c>
      <c r="DX14" s="2">
        <v>124.4</v>
      </c>
      <c r="DY14" s="2">
        <v>127.3</v>
      </c>
      <c r="DZ14" s="2">
        <v>121.7</v>
      </c>
      <c r="EA14" s="2">
        <v>125.0</v>
      </c>
      <c r="EB14" s="2">
        <v>128.1</v>
      </c>
      <c r="EC14" s="2">
        <v>121.9</v>
      </c>
      <c r="ED14" s="2">
        <v>125.5</v>
      </c>
      <c r="EE14" s="2">
        <v>128.8</v>
      </c>
      <c r="EF14" s="2">
        <v>122.1</v>
      </c>
      <c r="EG14" s="2">
        <v>126.0</v>
      </c>
      <c r="EH14" s="2">
        <v>128.7</v>
      </c>
      <c r="EI14" s="2">
        <v>122.5</v>
      </c>
      <c r="EJ14" s="2">
        <v>126.1</v>
      </c>
      <c r="EK14" s="2">
        <v>128.7</v>
      </c>
      <c r="EL14" s="2">
        <v>122.7</v>
      </c>
      <c r="EM14" s="2">
        <v>126.2</v>
      </c>
      <c r="EN14" s="2">
        <v>129.1</v>
      </c>
      <c r="EO14" s="2">
        <v>123.1</v>
      </c>
      <c r="EP14" s="2">
        <v>126.6</v>
      </c>
      <c r="EQ14" s="2">
        <v>129.0</v>
      </c>
      <c r="ER14" s="2">
        <v>123.2</v>
      </c>
      <c r="ES14" s="2">
        <v>126.6</v>
      </c>
      <c r="ET14" s="2">
        <v>129.4</v>
      </c>
      <c r="EU14" s="2">
        <v>123.4</v>
      </c>
      <c r="EV14" s="2">
        <v>126.9</v>
      </c>
      <c r="EW14" s="2">
        <v>129.8</v>
      </c>
      <c r="EX14" s="2">
        <v>123.6</v>
      </c>
      <c r="EY14" s="2">
        <v>127.2</v>
      </c>
      <c r="EZ14" s="2">
        <v>130.0</v>
      </c>
      <c r="FA14" s="2">
        <v>123.8</v>
      </c>
      <c r="FB14" s="2">
        <v>127.4</v>
      </c>
      <c r="FC14" s="2">
        <v>130.3</v>
      </c>
      <c r="FD14" s="2">
        <v>123.8</v>
      </c>
      <c r="FE14" s="2">
        <v>127.6</v>
      </c>
      <c r="FF14" s="2">
        <v>130.4</v>
      </c>
      <c r="FG14" s="2">
        <v>124.2</v>
      </c>
      <c r="FH14" s="2">
        <v>127.8</v>
      </c>
      <c r="FI14" s="2">
        <v>131.4</v>
      </c>
      <c r="FJ14" s="2">
        <v>124.4</v>
      </c>
      <c r="FK14" s="2">
        <v>128.5</v>
      </c>
      <c r="FL14" s="2">
        <v>131.6</v>
      </c>
      <c r="FM14" s="2">
        <v>124.6</v>
      </c>
      <c r="FN14" s="2">
        <v>128.7</v>
      </c>
      <c r="FO14" s="2">
        <v>131.7</v>
      </c>
      <c r="FP14" s="2">
        <v>124.8</v>
      </c>
      <c r="FQ14" s="2">
        <v>128.8</v>
      </c>
      <c r="FR14" s="2">
        <v>131.3</v>
      </c>
      <c r="FS14" s="2">
        <v>125.1</v>
      </c>
      <c r="FT14" s="2">
        <v>128.7</v>
      </c>
      <c r="FU14" s="2">
        <v>131.9</v>
      </c>
      <c r="FV14" s="2">
        <v>125.4</v>
      </c>
      <c r="FW14" s="2">
        <v>129.2</v>
      </c>
      <c r="FX14" s="2">
        <v>131.1</v>
      </c>
      <c r="FY14" s="2">
        <v>125.7</v>
      </c>
      <c r="FZ14" s="2">
        <v>128.8</v>
      </c>
      <c r="GA14" s="2">
        <v>131.2</v>
      </c>
      <c r="GB14" s="2">
        <v>125.9</v>
      </c>
      <c r="GC14" s="2">
        <v>129.0</v>
      </c>
      <c r="GD14" s="2">
        <v>130.5</v>
      </c>
      <c r="GE14" s="2">
        <v>125.9</v>
      </c>
      <c r="GF14" s="2">
        <v>128.6</v>
      </c>
      <c r="GG14" s="2">
        <v>131.2</v>
      </c>
      <c r="GH14" s="2">
        <v>126.2</v>
      </c>
      <c r="GI14" s="2">
        <v>129.1</v>
      </c>
      <c r="GJ14" s="2">
        <v>131.9</v>
      </c>
      <c r="GK14" s="2">
        <v>126.5</v>
      </c>
      <c r="GL14" s="2">
        <v>129.6</v>
      </c>
      <c r="GM14" s="2">
        <v>132.2</v>
      </c>
      <c r="GN14" s="2">
        <v>126.6</v>
      </c>
      <c r="GO14" s="2">
        <v>129.9</v>
      </c>
      <c r="GP14" s="2">
        <v>132.8</v>
      </c>
      <c r="GQ14" s="2">
        <v>126.7</v>
      </c>
      <c r="GR14" s="2">
        <v>130.3</v>
      </c>
      <c r="GS14" s="2">
        <v>132.8</v>
      </c>
      <c r="GT14" s="2">
        <v>126.8</v>
      </c>
      <c r="GU14" s="2">
        <v>130.3</v>
      </c>
      <c r="GV14" s="2">
        <v>133.8</v>
      </c>
      <c r="GW14" s="2">
        <v>127.4</v>
      </c>
      <c r="GX14" s="2">
        <v>131.1</v>
      </c>
      <c r="GY14" s="2">
        <v>133.1</v>
      </c>
      <c r="GZ14" s="2">
        <v>127.7</v>
      </c>
      <c r="HA14" s="2">
        <v>130.8</v>
      </c>
      <c r="HB14" s="2">
        <v>134.6</v>
      </c>
      <c r="HC14" s="2">
        <v>127.6</v>
      </c>
      <c r="HD14" s="2">
        <v>133.6</v>
      </c>
      <c r="HE14" s="2">
        <v>137.5</v>
      </c>
      <c r="HF14" s="2">
        <v>128.0</v>
      </c>
      <c r="HG14" s="2">
        <v>133.5</v>
      </c>
      <c r="HH14" s="2">
        <v>137.8</v>
      </c>
      <c r="HI14" s="2">
        <v>128.1</v>
      </c>
      <c r="HJ14" s="2">
        <v>133.8</v>
      </c>
      <c r="HK14" s="2">
        <v>137.0</v>
      </c>
      <c r="HL14" s="2">
        <v>128.1</v>
      </c>
      <c r="HM14" s="2">
        <v>133.3</v>
      </c>
      <c r="HN14" s="2">
        <v>137.4</v>
      </c>
      <c r="HO14" s="2">
        <v>128.3</v>
      </c>
      <c r="HP14" s="2">
        <v>133.6</v>
      </c>
      <c r="HQ14" s="2">
        <v>137.4</v>
      </c>
      <c r="HR14" s="2">
        <v>128.5</v>
      </c>
      <c r="HS14" s="2">
        <v>133.7</v>
      </c>
      <c r="HT14" s="2">
        <v>137.7</v>
      </c>
      <c r="HU14" s="2">
        <v>128.9</v>
      </c>
      <c r="HV14" s="2">
        <v>134.0</v>
      </c>
      <c r="HW14" s="2">
        <v>138.0</v>
      </c>
      <c r="HX14" s="2">
        <v>129.0</v>
      </c>
      <c r="HY14" s="2">
        <v>134.2</v>
      </c>
      <c r="HZ14" s="2">
        <v>138.5</v>
      </c>
      <c r="IA14" s="2">
        <v>129.5</v>
      </c>
      <c r="IB14" s="2">
        <v>134.7</v>
      </c>
      <c r="IC14" s="2">
        <v>138.5</v>
      </c>
      <c r="ID14" s="2">
        <v>129.8</v>
      </c>
      <c r="IE14" s="2">
        <v>134.9</v>
      </c>
      <c r="IF14" s="2">
        <v>138.5</v>
      </c>
      <c r="IG14" s="2">
        <v>130.0</v>
      </c>
      <c r="IH14" s="2">
        <v>135.0</v>
      </c>
      <c r="II14" s="2">
        <v>138.6</v>
      </c>
      <c r="IJ14" s="2">
        <v>130.2</v>
      </c>
      <c r="IK14" s="2">
        <v>135.1</v>
      </c>
      <c r="IL14" s="2">
        <v>138.7</v>
      </c>
      <c r="IM14" s="2">
        <v>130.5</v>
      </c>
      <c r="IN14" s="2">
        <v>135.3</v>
      </c>
      <c r="IO14" s="2">
        <v>139.3</v>
      </c>
      <c r="IP14" s="2">
        <v>130.8</v>
      </c>
      <c r="IQ14" s="2">
        <v>135.8</v>
      </c>
      <c r="IR14" s="2">
        <v>139.7</v>
      </c>
      <c r="IS14" s="2">
        <v>131.1</v>
      </c>
      <c r="IT14" s="2">
        <v>136.1</v>
      </c>
      <c r="IU14" s="2">
        <v>140.1</v>
      </c>
      <c r="IV14" s="2">
        <v>131.5</v>
      </c>
      <c r="IW14" s="2">
        <v>136.5</v>
      </c>
      <c r="IX14" s="2">
        <v>140.1</v>
      </c>
      <c r="IY14" s="2">
        <v>131.9</v>
      </c>
      <c r="IZ14" s="2">
        <v>136.7</v>
      </c>
      <c r="JA14" s="2">
        <v>139.2</v>
      </c>
      <c r="JB14" s="2">
        <v>133.5</v>
      </c>
      <c r="JC14" s="2">
        <v>136.8</v>
      </c>
      <c r="JD14" s="2" t="s">
        <v>32</v>
      </c>
      <c r="JE14" s="2" t="s">
        <v>32</v>
      </c>
      <c r="JF14" s="2" t="s">
        <v>32</v>
      </c>
      <c r="JG14" s="2">
        <v>142.1</v>
      </c>
      <c r="JH14" s="2">
        <v>135.6</v>
      </c>
      <c r="JI14" s="2">
        <v>139.4</v>
      </c>
      <c r="JJ14" s="2">
        <v>142.1</v>
      </c>
      <c r="JK14" s="2">
        <v>135.6</v>
      </c>
      <c r="JL14" s="2">
        <v>139.4</v>
      </c>
      <c r="JM14" s="2">
        <v>143.5</v>
      </c>
      <c r="JN14" s="2">
        <v>136.5</v>
      </c>
      <c r="JO14" s="2">
        <v>140.6</v>
      </c>
      <c r="JP14" s="2">
        <v>145.4</v>
      </c>
      <c r="JQ14" s="2">
        <v>137.7</v>
      </c>
      <c r="JR14" s="2">
        <v>142.2</v>
      </c>
      <c r="JS14" s="2">
        <v>147.4</v>
      </c>
      <c r="JT14" s="2">
        <v>139.2</v>
      </c>
      <c r="JU14" s="2">
        <v>144.0</v>
      </c>
      <c r="JV14" s="2">
        <v>150.0</v>
      </c>
      <c r="JW14" s="2">
        <v>141.5</v>
      </c>
      <c r="JX14" s="2">
        <v>146.5</v>
      </c>
      <c r="JY14" s="2">
        <v>153.4</v>
      </c>
      <c r="JZ14" s="2">
        <v>143.3</v>
      </c>
      <c r="KA14" s="2">
        <v>149.2</v>
      </c>
      <c r="KB14" s="2">
        <v>156.1</v>
      </c>
      <c r="KC14" s="2">
        <v>145.9</v>
      </c>
      <c r="KD14" s="2">
        <v>151.8</v>
      </c>
      <c r="KE14" s="2">
        <v>160.0</v>
      </c>
      <c r="KF14" s="2">
        <v>149.2</v>
      </c>
      <c r="KG14" s="2">
        <v>155.5</v>
      </c>
      <c r="KH14" s="2">
        <v>160.6</v>
      </c>
      <c r="KI14" s="2">
        <v>150.7</v>
      </c>
      <c r="KJ14" s="2">
        <v>156.5</v>
      </c>
      <c r="KK14" s="2">
        <v>161.9</v>
      </c>
      <c r="KL14" s="2">
        <v>151.5</v>
      </c>
      <c r="KM14" s="2">
        <v>157.6</v>
      </c>
      <c r="KN14" s="2">
        <v>164.6</v>
      </c>
      <c r="KO14" s="2">
        <v>152.0</v>
      </c>
      <c r="KP14" s="2">
        <v>159.3</v>
      </c>
      <c r="KQ14" s="2">
        <v>165.5</v>
      </c>
      <c r="KR14" s="2">
        <v>152.3</v>
      </c>
      <c r="KS14" s="2">
        <v>160.0</v>
      </c>
      <c r="KT14" s="2">
        <v>166.2</v>
      </c>
      <c r="KU14" s="2">
        <v>153.4</v>
      </c>
      <c r="KV14" s="2">
        <v>160.9</v>
      </c>
      <c r="KW14" s="2">
        <v>167.6</v>
      </c>
      <c r="KX14" s="2">
        <v>154.8</v>
      </c>
      <c r="KY14" s="2">
        <v>162.7</v>
      </c>
      <c r="KZ14" s="2">
        <v>168.3</v>
      </c>
      <c r="LA14" s="2">
        <v>154.8</v>
      </c>
      <c r="LB14" s="2">
        <v>162.7</v>
      </c>
      <c r="LC14" s="2">
        <v>168.8</v>
      </c>
      <c r="LD14" s="2">
        <v>155.4</v>
      </c>
      <c r="LE14" s="2">
        <v>163.2</v>
      </c>
      <c r="LF14" s="2">
        <v>169.1</v>
      </c>
      <c r="LG14" s="2">
        <v>156.1</v>
      </c>
      <c r="LH14" s="2">
        <v>163.7</v>
      </c>
      <c r="LI14" s="2">
        <v>169.7</v>
      </c>
      <c r="LJ14" s="2">
        <v>156.5</v>
      </c>
      <c r="LK14" s="2">
        <v>164.2</v>
      </c>
      <c r="LL14" s="2">
        <v>169.8</v>
      </c>
      <c r="LM14" s="2">
        <v>156.6</v>
      </c>
      <c r="LN14" s="2">
        <v>164.3</v>
      </c>
      <c r="LO14" s="2">
        <v>170.5</v>
      </c>
      <c r="LP14" s="2">
        <v>156.7</v>
      </c>
      <c r="LQ14" s="2">
        <v>164.7</v>
      </c>
      <c r="LR14" s="2">
        <v>171.2</v>
      </c>
      <c r="LS14" s="2">
        <v>157.1</v>
      </c>
      <c r="LT14" s="2">
        <v>165.3</v>
      </c>
      <c r="LU14" s="2">
        <v>172.4</v>
      </c>
      <c r="LV14" s="2">
        <v>157.5</v>
      </c>
      <c r="LW14" s="2">
        <v>166.2</v>
      </c>
      <c r="LX14" s="2">
        <v>173.2</v>
      </c>
      <c r="LY14" s="2">
        <v>158.5</v>
      </c>
      <c r="LZ14" s="2">
        <v>167.1</v>
      </c>
      <c r="MA14" s="2">
        <v>174.2</v>
      </c>
      <c r="MB14" s="2">
        <v>159.1</v>
      </c>
      <c r="MC14" s="2">
        <v>167.9</v>
      </c>
      <c r="MD14" s="2">
        <v>174.5</v>
      </c>
      <c r="ME14" s="2">
        <v>159.8</v>
      </c>
      <c r="MF14" s="2">
        <v>168.4</v>
      </c>
      <c r="MG14" s="2">
        <v>174.8</v>
      </c>
      <c r="MH14" s="2">
        <v>160.5</v>
      </c>
      <c r="MI14" s="2">
        <v>168.8</v>
      </c>
      <c r="MJ14" s="2">
        <v>175.4</v>
      </c>
      <c r="MK14" s="2">
        <v>161.1</v>
      </c>
      <c r="ML14" s="2">
        <v>169.4</v>
      </c>
      <c r="MM14" s="2">
        <v>175.8</v>
      </c>
      <c r="MN14" s="2">
        <v>161.6</v>
      </c>
      <c r="MO14" s="2">
        <v>169.9</v>
      </c>
      <c r="MP14" s="2">
        <v>176.4</v>
      </c>
      <c r="MQ14" s="2">
        <v>162.1</v>
      </c>
      <c r="MR14" s="2">
        <v>170.4</v>
      </c>
      <c r="MS14" s="2">
        <v>176.8</v>
      </c>
      <c r="MT14" s="2">
        <v>162.8</v>
      </c>
      <c r="MU14" s="2">
        <v>171.0</v>
      </c>
      <c r="MV14" s="2">
        <v>176.9</v>
      </c>
      <c r="MW14" s="2">
        <v>163.7</v>
      </c>
      <c r="MX14" s="2">
        <v>171.4</v>
      </c>
      <c r="MY14" s="2">
        <v>177.6</v>
      </c>
      <c r="MZ14" s="2">
        <v>164.9</v>
      </c>
      <c r="NA14" s="2">
        <v>172.3</v>
      </c>
      <c r="NB14" s="2">
        <v>177.6</v>
      </c>
      <c r="NC14" s="2">
        <v>164.9</v>
      </c>
      <c r="ND14" s="2">
        <v>172.3</v>
      </c>
      <c r="NE14" s="2">
        <v>178.2</v>
      </c>
      <c r="NF14" s="2">
        <v>165.5</v>
      </c>
      <c r="NG14" s="2">
        <v>172.9</v>
      </c>
      <c r="NH14" s="2">
        <v>178.7</v>
      </c>
      <c r="NI14" s="2">
        <v>165.9</v>
      </c>
      <c r="NJ14" s="2">
        <v>173.4</v>
      </c>
    </row>
    <row r="15">
      <c r="A15" s="2" t="s">
        <v>14</v>
      </c>
      <c r="B15" s="2" t="str">
        <f>VLOOKUP(A15, NOTES!C16:D41, 2,0)</f>
        <v>Beverages and Intoxicants</v>
      </c>
      <c r="C15" s="2">
        <v>106.7</v>
      </c>
      <c r="D15" s="2">
        <v>107.9</v>
      </c>
      <c r="E15" s="2">
        <v>107.3</v>
      </c>
      <c r="F15" s="2">
        <v>107.7</v>
      </c>
      <c r="G15" s="2">
        <v>109.0</v>
      </c>
      <c r="H15" s="2">
        <v>108.3</v>
      </c>
      <c r="I15" s="2">
        <v>108.2</v>
      </c>
      <c r="J15" s="2">
        <v>109.8</v>
      </c>
      <c r="K15" s="2">
        <v>108.9</v>
      </c>
      <c r="L15" s="2">
        <v>108.8</v>
      </c>
      <c r="M15" s="2">
        <v>110.6</v>
      </c>
      <c r="N15" s="2">
        <v>109.6</v>
      </c>
      <c r="O15" s="2">
        <v>109.9</v>
      </c>
      <c r="P15" s="2">
        <v>111.3</v>
      </c>
      <c r="Q15" s="2">
        <v>110.5</v>
      </c>
      <c r="R15" s="2">
        <v>111.0</v>
      </c>
      <c r="S15" s="2">
        <v>112.2</v>
      </c>
      <c r="T15" s="2">
        <v>111.6</v>
      </c>
      <c r="U15" s="2">
        <v>112.1</v>
      </c>
      <c r="V15" s="2">
        <v>113.1</v>
      </c>
      <c r="W15" s="2">
        <v>112.6</v>
      </c>
      <c r="X15" s="2">
        <v>112.6</v>
      </c>
      <c r="Y15" s="2">
        <v>114.3</v>
      </c>
      <c r="Z15" s="2">
        <v>113.4</v>
      </c>
      <c r="AA15" s="2">
        <v>114.0</v>
      </c>
      <c r="AB15" s="2">
        <v>115.4</v>
      </c>
      <c r="AC15" s="2">
        <v>114.6</v>
      </c>
      <c r="AD15" s="2">
        <v>114.9</v>
      </c>
      <c r="AE15" s="2">
        <v>116.0</v>
      </c>
      <c r="AF15" s="2">
        <v>115.4</v>
      </c>
      <c r="AG15" s="2">
        <v>116.0</v>
      </c>
      <c r="AH15" s="2">
        <v>117.1</v>
      </c>
      <c r="AI15" s="2">
        <v>116.5</v>
      </c>
      <c r="AJ15" s="2">
        <v>116.8</v>
      </c>
      <c r="AK15" s="2">
        <v>118.1</v>
      </c>
      <c r="AL15" s="2">
        <v>117.4</v>
      </c>
      <c r="AM15" s="2">
        <v>117.3</v>
      </c>
      <c r="AN15" s="2">
        <v>119.0</v>
      </c>
      <c r="AO15" s="2">
        <v>118.1</v>
      </c>
      <c r="AP15" s="2">
        <v>117.8</v>
      </c>
      <c r="AQ15" s="2">
        <v>119.9</v>
      </c>
      <c r="AR15" s="2">
        <v>118.8</v>
      </c>
      <c r="AS15" s="2">
        <v>118.3</v>
      </c>
      <c r="AT15" s="2">
        <v>120.5</v>
      </c>
      <c r="AU15" s="2">
        <v>119.3</v>
      </c>
      <c r="AV15" s="2">
        <v>118.7</v>
      </c>
      <c r="AW15" s="2">
        <v>121.0</v>
      </c>
      <c r="AX15" s="2">
        <v>119.8</v>
      </c>
      <c r="AY15" s="2">
        <v>119.2</v>
      </c>
      <c r="AZ15" s="2">
        <v>121.7</v>
      </c>
      <c r="BA15" s="2">
        <v>120.4</v>
      </c>
      <c r="BB15" s="2">
        <v>120.1</v>
      </c>
      <c r="BC15" s="2">
        <v>122.4</v>
      </c>
      <c r="BD15" s="2">
        <v>121.2</v>
      </c>
      <c r="BE15" s="2">
        <v>120.9</v>
      </c>
      <c r="BF15" s="2">
        <v>123.4</v>
      </c>
      <c r="BG15" s="2">
        <v>122.1</v>
      </c>
      <c r="BH15" s="2">
        <v>121.7</v>
      </c>
      <c r="BI15" s="2">
        <v>124.7</v>
      </c>
      <c r="BJ15" s="2">
        <v>123.1</v>
      </c>
      <c r="BK15" s="2">
        <v>122.6</v>
      </c>
      <c r="BL15" s="2">
        <v>125.2</v>
      </c>
      <c r="BM15" s="2">
        <v>123.8</v>
      </c>
      <c r="BN15" s="2">
        <v>123.2</v>
      </c>
      <c r="BO15" s="2">
        <v>125.9</v>
      </c>
      <c r="BP15" s="2">
        <v>124.5</v>
      </c>
      <c r="BQ15" s="2">
        <v>124.5</v>
      </c>
      <c r="BR15" s="2">
        <v>126.9</v>
      </c>
      <c r="BS15" s="2">
        <v>125.6</v>
      </c>
      <c r="BT15" s="2">
        <v>124.8</v>
      </c>
      <c r="BU15" s="2">
        <v>127.6</v>
      </c>
      <c r="BV15" s="2">
        <v>126.1</v>
      </c>
      <c r="BW15" s="2">
        <v>125.6</v>
      </c>
      <c r="BX15" s="2">
        <v>128.0</v>
      </c>
      <c r="BY15" s="2">
        <v>126.7</v>
      </c>
      <c r="BZ15" s="2">
        <v>126.8</v>
      </c>
      <c r="CA15" s="2">
        <v>128.6</v>
      </c>
      <c r="CB15" s="2">
        <v>127.6</v>
      </c>
      <c r="CC15" s="2">
        <v>127.7</v>
      </c>
      <c r="CD15" s="2">
        <v>129.2</v>
      </c>
      <c r="CE15" s="2">
        <v>128.4</v>
      </c>
      <c r="CF15" s="2">
        <v>128.7</v>
      </c>
      <c r="CG15" s="2">
        <v>129.5</v>
      </c>
      <c r="CH15" s="2">
        <v>129.1</v>
      </c>
      <c r="CI15" s="2">
        <v>129.8</v>
      </c>
      <c r="CJ15" s="2">
        <v>129.9</v>
      </c>
      <c r="CK15" s="2">
        <v>129.8</v>
      </c>
      <c r="CL15" s="2">
        <v>131.2</v>
      </c>
      <c r="CM15" s="2">
        <v>130.5</v>
      </c>
      <c r="CN15" s="2">
        <v>130.9</v>
      </c>
      <c r="CO15" s="2">
        <v>131.7</v>
      </c>
      <c r="CP15" s="2">
        <v>131.1</v>
      </c>
      <c r="CQ15" s="2">
        <v>131.4</v>
      </c>
      <c r="CR15" s="2">
        <v>132.5</v>
      </c>
      <c r="CS15" s="2">
        <v>131.7</v>
      </c>
      <c r="CT15" s="2">
        <v>132.1</v>
      </c>
      <c r="CU15" s="2">
        <v>132.7</v>
      </c>
      <c r="CV15" s="2">
        <v>132.3</v>
      </c>
      <c r="CW15" s="2">
        <v>132.5</v>
      </c>
      <c r="CX15" s="2">
        <v>133.1</v>
      </c>
      <c r="CY15" s="2">
        <v>132.9</v>
      </c>
      <c r="CZ15" s="2">
        <v>133.0</v>
      </c>
      <c r="DA15" s="2">
        <v>134.2</v>
      </c>
      <c r="DB15" s="2">
        <v>133.7</v>
      </c>
      <c r="DC15" s="2">
        <v>134.0</v>
      </c>
      <c r="DD15" s="2">
        <v>135.1</v>
      </c>
      <c r="DE15" s="2">
        <v>134.2</v>
      </c>
      <c r="DF15" s="2">
        <v>134.7</v>
      </c>
      <c r="DG15" s="2">
        <v>135.9</v>
      </c>
      <c r="DH15" s="2">
        <v>134.7</v>
      </c>
      <c r="DI15" s="2">
        <v>135.3</v>
      </c>
      <c r="DJ15" s="2">
        <v>136.4</v>
      </c>
      <c r="DK15" s="2">
        <v>135.2</v>
      </c>
      <c r="DL15" s="2">
        <v>135.8</v>
      </c>
      <c r="DM15" s="2">
        <v>137.0</v>
      </c>
      <c r="DN15" s="2">
        <v>135.4</v>
      </c>
      <c r="DO15" s="2">
        <v>136.3</v>
      </c>
      <c r="DP15" s="2">
        <v>137.4</v>
      </c>
      <c r="DQ15" s="2">
        <v>135.9</v>
      </c>
      <c r="DR15" s="2">
        <v>136.7</v>
      </c>
      <c r="DS15" s="2">
        <v>138.3</v>
      </c>
      <c r="DT15" s="2">
        <v>136.3</v>
      </c>
      <c r="DU15" s="2">
        <v>137.4</v>
      </c>
      <c r="DV15" s="2">
        <v>139.2</v>
      </c>
      <c r="DW15" s="2">
        <v>136.9</v>
      </c>
      <c r="DX15" s="2">
        <v>138.1</v>
      </c>
      <c r="DY15" s="2">
        <v>139.9</v>
      </c>
      <c r="DZ15" s="2">
        <v>137.5</v>
      </c>
      <c r="EA15" s="2">
        <v>138.8</v>
      </c>
      <c r="EB15" s="2">
        <v>140.7</v>
      </c>
      <c r="EC15" s="2">
        <v>138.1</v>
      </c>
      <c r="ED15" s="2">
        <v>139.5</v>
      </c>
      <c r="EE15" s="2">
        <v>141.5</v>
      </c>
      <c r="EF15" s="2">
        <v>138.8</v>
      </c>
      <c r="EG15" s="2">
        <v>140.2</v>
      </c>
      <c r="EH15" s="2">
        <v>142.4</v>
      </c>
      <c r="EI15" s="2">
        <v>139.6</v>
      </c>
      <c r="EJ15" s="2">
        <v>141.1</v>
      </c>
      <c r="EK15" s="2">
        <v>143.1</v>
      </c>
      <c r="EL15" s="2">
        <v>140.3</v>
      </c>
      <c r="EM15" s="2">
        <v>141.8</v>
      </c>
      <c r="EN15" s="2">
        <v>143.6</v>
      </c>
      <c r="EO15" s="2">
        <v>140.9</v>
      </c>
      <c r="EP15" s="2">
        <v>142.3</v>
      </c>
      <c r="EQ15" s="2">
        <v>143.9</v>
      </c>
      <c r="ER15" s="2">
        <v>141.6</v>
      </c>
      <c r="ES15" s="2">
        <v>142.8</v>
      </c>
      <c r="ET15" s="2">
        <v>144.4</v>
      </c>
      <c r="EU15" s="2">
        <v>141.9</v>
      </c>
      <c r="EV15" s="2">
        <v>143.2</v>
      </c>
      <c r="EW15" s="2">
        <v>145.4</v>
      </c>
      <c r="EX15" s="2">
        <v>142.4</v>
      </c>
      <c r="EY15" s="2">
        <v>144.0</v>
      </c>
      <c r="EZ15" s="2">
        <v>145.5</v>
      </c>
      <c r="FA15" s="2">
        <v>142.6</v>
      </c>
      <c r="FB15" s="2">
        <v>144.2</v>
      </c>
      <c r="FC15" s="2">
        <v>145.8</v>
      </c>
      <c r="FD15" s="2">
        <v>142.9</v>
      </c>
      <c r="FE15" s="2">
        <v>144.5</v>
      </c>
      <c r="FF15" s="2">
        <v>146.5</v>
      </c>
      <c r="FG15" s="2">
        <v>143.1</v>
      </c>
      <c r="FH15" s="2">
        <v>144.9</v>
      </c>
      <c r="FI15" s="2">
        <v>147.7</v>
      </c>
      <c r="FJ15" s="2">
        <v>143.7</v>
      </c>
      <c r="FK15" s="2">
        <v>145.8</v>
      </c>
      <c r="FL15" s="2">
        <v>148.7</v>
      </c>
      <c r="FM15" s="2">
        <v>144.5</v>
      </c>
      <c r="FN15" s="2">
        <v>146.8</v>
      </c>
      <c r="FO15" s="2">
        <v>149.3</v>
      </c>
      <c r="FP15" s="2">
        <v>145.0</v>
      </c>
      <c r="FQ15" s="2">
        <v>147.3</v>
      </c>
      <c r="FR15" s="2">
        <v>150.3</v>
      </c>
      <c r="FS15" s="2">
        <v>145.5</v>
      </c>
      <c r="FT15" s="2">
        <v>148.1</v>
      </c>
      <c r="FU15" s="2">
        <v>151.4</v>
      </c>
      <c r="FV15" s="2">
        <v>146.0</v>
      </c>
      <c r="FW15" s="2">
        <v>148.9</v>
      </c>
      <c r="FX15" s="2">
        <v>151.4</v>
      </c>
      <c r="FY15" s="2">
        <v>146.3</v>
      </c>
      <c r="FZ15" s="2">
        <v>149.0</v>
      </c>
      <c r="GA15" s="2">
        <v>151.8</v>
      </c>
      <c r="GB15" s="2">
        <v>146.8</v>
      </c>
      <c r="GC15" s="2">
        <v>149.5</v>
      </c>
      <c r="GD15" s="2">
        <v>151.7</v>
      </c>
      <c r="GE15" s="2">
        <v>147.1</v>
      </c>
      <c r="GF15" s="2">
        <v>149.6</v>
      </c>
      <c r="GG15" s="2">
        <v>152.8</v>
      </c>
      <c r="GH15" s="2">
        <v>147.6</v>
      </c>
      <c r="GI15" s="2">
        <v>150.4</v>
      </c>
      <c r="GJ15" s="2">
        <v>153.8</v>
      </c>
      <c r="GK15" s="2">
        <v>148.3</v>
      </c>
      <c r="GL15" s="2">
        <v>151.2</v>
      </c>
      <c r="GM15" s="2">
        <v>154.3</v>
      </c>
      <c r="GN15" s="2">
        <v>148.7</v>
      </c>
      <c r="GO15" s="2">
        <v>151.7</v>
      </c>
      <c r="GP15" s="2">
        <v>154.3</v>
      </c>
      <c r="GQ15" s="2">
        <v>149.0</v>
      </c>
      <c r="GR15" s="2">
        <v>151.8</v>
      </c>
      <c r="GS15" s="2">
        <v>154.8</v>
      </c>
      <c r="GT15" s="2">
        <v>149.4</v>
      </c>
      <c r="GU15" s="2">
        <v>152.3</v>
      </c>
      <c r="GV15" s="2">
        <v>155.2</v>
      </c>
      <c r="GW15" s="2">
        <v>150.4</v>
      </c>
      <c r="GX15" s="2">
        <v>153.0</v>
      </c>
      <c r="GY15" s="2">
        <v>155.9</v>
      </c>
      <c r="GZ15" s="2">
        <v>151.3</v>
      </c>
      <c r="HA15" s="2">
        <v>153.8</v>
      </c>
      <c r="HB15" s="2">
        <v>155.2</v>
      </c>
      <c r="HC15" s="2">
        <v>152.0</v>
      </c>
      <c r="HD15" s="2">
        <v>154.5</v>
      </c>
      <c r="HE15" s="2">
        <v>156.1</v>
      </c>
      <c r="HF15" s="2">
        <v>152.6</v>
      </c>
      <c r="HG15" s="2">
        <v>154.5</v>
      </c>
      <c r="HH15" s="2">
        <v>156.0</v>
      </c>
      <c r="HI15" s="2">
        <v>152.9</v>
      </c>
      <c r="HJ15" s="2">
        <v>154.6</v>
      </c>
      <c r="HK15" s="2">
        <v>155.8</v>
      </c>
      <c r="HL15" s="2">
        <v>153.2</v>
      </c>
      <c r="HM15" s="2">
        <v>154.6</v>
      </c>
      <c r="HN15" s="2">
        <v>156.2</v>
      </c>
      <c r="HO15" s="2">
        <v>153.5</v>
      </c>
      <c r="HP15" s="2">
        <v>154.9</v>
      </c>
      <c r="HQ15" s="2">
        <v>156.4</v>
      </c>
      <c r="HR15" s="2">
        <v>153.9</v>
      </c>
      <c r="HS15" s="2">
        <v>155.2</v>
      </c>
      <c r="HT15" s="2">
        <v>156.4</v>
      </c>
      <c r="HU15" s="2">
        <v>154.5</v>
      </c>
      <c r="HV15" s="2">
        <v>155.5</v>
      </c>
      <c r="HW15" s="2">
        <v>156.6</v>
      </c>
      <c r="HX15" s="2">
        <v>155.1</v>
      </c>
      <c r="HY15" s="2">
        <v>155.9</v>
      </c>
      <c r="HZ15" s="2">
        <v>156.7</v>
      </c>
      <c r="IA15" s="2">
        <v>155.6</v>
      </c>
      <c r="IB15" s="2">
        <v>156.2</v>
      </c>
      <c r="IC15" s="2">
        <v>156.9</v>
      </c>
      <c r="ID15" s="2">
        <v>156.2</v>
      </c>
      <c r="IE15" s="2">
        <v>156.6</v>
      </c>
      <c r="IF15" s="2">
        <v>157.2</v>
      </c>
      <c r="IG15" s="2">
        <v>156.4</v>
      </c>
      <c r="IH15" s="2">
        <v>156.8</v>
      </c>
      <c r="II15" s="2">
        <v>157.4</v>
      </c>
      <c r="IJ15" s="2">
        <v>156.8</v>
      </c>
      <c r="IK15" s="2">
        <v>157.1</v>
      </c>
      <c r="IL15" s="2">
        <v>157.7</v>
      </c>
      <c r="IM15" s="2">
        <v>157.2</v>
      </c>
      <c r="IN15" s="2">
        <v>157.5</v>
      </c>
      <c r="IO15" s="2">
        <v>158.3</v>
      </c>
      <c r="IP15" s="2">
        <v>157.7</v>
      </c>
      <c r="IQ15" s="2">
        <v>158.0</v>
      </c>
      <c r="IR15" s="2">
        <v>158.7</v>
      </c>
      <c r="IS15" s="2">
        <v>158.5</v>
      </c>
      <c r="IT15" s="2">
        <v>158.6</v>
      </c>
      <c r="IU15" s="2">
        <v>159.2</v>
      </c>
      <c r="IV15" s="2">
        <v>159.0</v>
      </c>
      <c r="IW15" s="2">
        <v>159.1</v>
      </c>
      <c r="IX15" s="2">
        <v>160.0</v>
      </c>
      <c r="IY15" s="2">
        <v>159.1</v>
      </c>
      <c r="IZ15" s="2">
        <v>159.6</v>
      </c>
      <c r="JA15" s="2" t="s">
        <v>32</v>
      </c>
      <c r="JB15" s="2" t="s">
        <v>32</v>
      </c>
      <c r="JC15" s="2" t="s">
        <v>32</v>
      </c>
      <c r="JD15" s="2" t="s">
        <v>32</v>
      </c>
      <c r="JE15" s="2" t="s">
        <v>32</v>
      </c>
      <c r="JF15" s="2" t="s">
        <v>32</v>
      </c>
      <c r="JG15" s="2">
        <v>161.8</v>
      </c>
      <c r="JH15" s="2">
        <v>161.7</v>
      </c>
      <c r="JI15" s="2">
        <v>161.8</v>
      </c>
      <c r="JJ15" s="2">
        <v>161.8</v>
      </c>
      <c r="JK15" s="2">
        <v>161.7</v>
      </c>
      <c r="JL15" s="2">
        <v>161.8</v>
      </c>
      <c r="JM15" s="2">
        <v>161.5</v>
      </c>
      <c r="JN15" s="2">
        <v>163.3</v>
      </c>
      <c r="JO15" s="2">
        <v>162.3</v>
      </c>
      <c r="JP15" s="2">
        <v>161.6</v>
      </c>
      <c r="JQ15" s="2">
        <v>164.4</v>
      </c>
      <c r="JR15" s="2">
        <v>162.9</v>
      </c>
      <c r="JS15" s="2">
        <v>161.9</v>
      </c>
      <c r="JT15" s="2">
        <v>164.8</v>
      </c>
      <c r="JU15" s="2">
        <v>163.2</v>
      </c>
      <c r="JV15" s="2">
        <v>162.7</v>
      </c>
      <c r="JW15" s="2">
        <v>165.1</v>
      </c>
      <c r="JX15" s="2">
        <v>163.8</v>
      </c>
      <c r="JY15" s="2">
        <v>163.6</v>
      </c>
      <c r="JZ15" s="2">
        <v>166.1</v>
      </c>
      <c r="KA15" s="2">
        <v>164.8</v>
      </c>
      <c r="KB15" s="2">
        <v>164.3</v>
      </c>
      <c r="KC15" s="2">
        <v>167.2</v>
      </c>
      <c r="KD15" s="2">
        <v>165.6</v>
      </c>
      <c r="KE15" s="2">
        <v>165.8</v>
      </c>
      <c r="KF15" s="2">
        <v>169.4</v>
      </c>
      <c r="KG15" s="2">
        <v>167.5</v>
      </c>
      <c r="KH15" s="2">
        <v>166.4</v>
      </c>
      <c r="KI15" s="2">
        <v>170.3</v>
      </c>
      <c r="KJ15" s="2">
        <v>168.2</v>
      </c>
      <c r="KK15" s="2">
        <v>166.8</v>
      </c>
      <c r="KL15" s="2">
        <v>171.4</v>
      </c>
      <c r="KM15" s="2">
        <v>168.9</v>
      </c>
      <c r="KN15" s="2">
        <v>169.8</v>
      </c>
      <c r="KO15" s="2">
        <v>171.1</v>
      </c>
      <c r="KP15" s="2">
        <v>170.4</v>
      </c>
      <c r="KQ15" s="2">
        <v>171.7</v>
      </c>
      <c r="KR15" s="2">
        <v>173.3</v>
      </c>
      <c r="KS15" s="2">
        <v>172.4</v>
      </c>
      <c r="KT15" s="2">
        <v>171.0</v>
      </c>
      <c r="KU15" s="2">
        <v>173.5</v>
      </c>
      <c r="KV15" s="2">
        <v>172.2</v>
      </c>
      <c r="KW15" s="2">
        <v>171.9</v>
      </c>
      <c r="KX15" s="2">
        <v>175.1</v>
      </c>
      <c r="KY15" s="2">
        <v>173.9</v>
      </c>
      <c r="KZ15" s="2">
        <v>172.8</v>
      </c>
      <c r="LA15" s="2">
        <v>175.1</v>
      </c>
      <c r="LB15" s="2">
        <v>173.9</v>
      </c>
      <c r="LC15" s="2">
        <v>173.6</v>
      </c>
      <c r="LD15" s="2">
        <v>175.9</v>
      </c>
      <c r="LE15" s="2">
        <v>174.7</v>
      </c>
      <c r="LF15" s="2">
        <v>174.3</v>
      </c>
      <c r="LG15" s="2">
        <v>176.8</v>
      </c>
      <c r="LH15" s="2">
        <v>175.5</v>
      </c>
      <c r="LI15" s="2">
        <v>175.1</v>
      </c>
      <c r="LJ15" s="2">
        <v>178.2</v>
      </c>
      <c r="LK15" s="2">
        <v>176.5</v>
      </c>
      <c r="LL15" s="2">
        <v>175.8</v>
      </c>
      <c r="LM15" s="2">
        <v>179.0</v>
      </c>
      <c r="LN15" s="2">
        <v>177.3</v>
      </c>
      <c r="LO15" s="2">
        <v>176.3</v>
      </c>
      <c r="LP15" s="2">
        <v>180.0</v>
      </c>
      <c r="LQ15" s="2">
        <v>178.0</v>
      </c>
      <c r="LR15" s="2">
        <v>177.4</v>
      </c>
      <c r="LS15" s="2">
        <v>181.5</v>
      </c>
      <c r="LT15" s="2">
        <v>179.3</v>
      </c>
      <c r="LU15" s="2">
        <v>178.9</v>
      </c>
      <c r="LV15" s="2">
        <v>183.3</v>
      </c>
      <c r="LW15" s="2">
        <v>180.9</v>
      </c>
      <c r="LX15" s="2">
        <v>180.4</v>
      </c>
      <c r="LY15" s="2">
        <v>184.9</v>
      </c>
      <c r="LZ15" s="2">
        <v>182.5</v>
      </c>
      <c r="MA15" s="2">
        <v>181.9</v>
      </c>
      <c r="MB15" s="2">
        <v>186.3</v>
      </c>
      <c r="MC15" s="2">
        <v>183.9</v>
      </c>
      <c r="MD15" s="2">
        <v>183.1</v>
      </c>
      <c r="ME15" s="2">
        <v>187.7</v>
      </c>
      <c r="MF15" s="2">
        <v>185.2</v>
      </c>
      <c r="MG15" s="2">
        <v>184.0</v>
      </c>
      <c r="MH15" s="2">
        <v>188.9</v>
      </c>
      <c r="MI15" s="2">
        <v>186.3</v>
      </c>
      <c r="MJ15" s="2">
        <v>184.8</v>
      </c>
      <c r="MK15" s="2">
        <v>190.4</v>
      </c>
      <c r="ML15" s="2">
        <v>187.4</v>
      </c>
      <c r="MM15" s="2">
        <v>185.6</v>
      </c>
      <c r="MN15" s="2">
        <v>191.5</v>
      </c>
      <c r="MO15" s="2">
        <v>188.3</v>
      </c>
      <c r="MP15" s="2">
        <v>186.9</v>
      </c>
      <c r="MQ15" s="2">
        <v>192.4</v>
      </c>
      <c r="MR15" s="2">
        <v>189.5</v>
      </c>
      <c r="MS15" s="2">
        <v>187.7</v>
      </c>
      <c r="MT15" s="2">
        <v>193.3</v>
      </c>
      <c r="MU15" s="2">
        <v>190.3</v>
      </c>
      <c r="MV15" s="2">
        <v>188.5</v>
      </c>
      <c r="MW15" s="2">
        <v>194.3</v>
      </c>
      <c r="MX15" s="2">
        <v>191.2</v>
      </c>
      <c r="MY15" s="2">
        <v>189.9</v>
      </c>
      <c r="MZ15" s="2">
        <v>196.6</v>
      </c>
      <c r="NA15" s="2">
        <v>193.0</v>
      </c>
      <c r="NB15" s="2">
        <v>189.9</v>
      </c>
      <c r="NC15" s="2">
        <v>196.6</v>
      </c>
      <c r="ND15" s="2">
        <v>193.0</v>
      </c>
      <c r="NE15" s="2">
        <v>190.5</v>
      </c>
      <c r="NF15" s="2">
        <v>197.0</v>
      </c>
      <c r="NG15" s="2">
        <v>193.5</v>
      </c>
      <c r="NH15" s="2">
        <v>191.1</v>
      </c>
      <c r="NI15" s="2">
        <v>197.7</v>
      </c>
      <c r="NJ15" s="2">
        <v>194.2</v>
      </c>
    </row>
    <row r="16">
      <c r="A16" s="2" t="s">
        <v>15</v>
      </c>
      <c r="B16" s="2" t="str">
        <f>VLOOKUP(A16, NOTES!C17:D42, 2,0)</f>
        <v>Beverages and Intoxicants</v>
      </c>
      <c r="C16" s="2">
        <v>105.5</v>
      </c>
      <c r="D16" s="2">
        <v>105.9</v>
      </c>
      <c r="E16" s="2">
        <v>105.6</v>
      </c>
      <c r="F16" s="2">
        <v>106.3</v>
      </c>
      <c r="G16" s="2">
        <v>107.2</v>
      </c>
      <c r="H16" s="2">
        <v>106.6</v>
      </c>
      <c r="I16" s="2">
        <v>106.6</v>
      </c>
      <c r="J16" s="2">
        <v>107.3</v>
      </c>
      <c r="K16" s="2">
        <v>106.9</v>
      </c>
      <c r="L16" s="2">
        <v>107.1</v>
      </c>
      <c r="M16" s="2">
        <v>108.8</v>
      </c>
      <c r="N16" s="2">
        <v>107.7</v>
      </c>
      <c r="O16" s="2">
        <v>108.1</v>
      </c>
      <c r="P16" s="2">
        <v>111.1</v>
      </c>
      <c r="Q16" s="2">
        <v>109.2</v>
      </c>
      <c r="R16" s="2">
        <v>110.6</v>
      </c>
      <c r="S16" s="2">
        <v>115.0</v>
      </c>
      <c r="T16" s="2">
        <v>112.2</v>
      </c>
      <c r="U16" s="2">
        <v>113.1</v>
      </c>
      <c r="V16" s="2">
        <v>117.5</v>
      </c>
      <c r="W16" s="2">
        <v>114.7</v>
      </c>
      <c r="X16" s="2">
        <v>114.9</v>
      </c>
      <c r="Y16" s="2">
        <v>119.6</v>
      </c>
      <c r="Z16" s="2">
        <v>116.6</v>
      </c>
      <c r="AA16" s="2">
        <v>117.8</v>
      </c>
      <c r="AB16" s="2">
        <v>119.2</v>
      </c>
      <c r="AC16" s="2">
        <v>118.3</v>
      </c>
      <c r="AD16" s="2">
        <v>119.8</v>
      </c>
      <c r="AE16" s="2">
        <v>120.8</v>
      </c>
      <c r="AF16" s="2">
        <v>120.2</v>
      </c>
      <c r="AG16" s="2">
        <v>122.5</v>
      </c>
      <c r="AH16" s="2">
        <v>122.9</v>
      </c>
      <c r="AI16" s="2">
        <v>122.6</v>
      </c>
      <c r="AJ16" s="2">
        <v>118.7</v>
      </c>
      <c r="AK16" s="2">
        <v>117.8</v>
      </c>
      <c r="AL16" s="2">
        <v>118.4</v>
      </c>
      <c r="AM16" s="2">
        <v>116.0</v>
      </c>
      <c r="AN16" s="2">
        <v>115.5</v>
      </c>
      <c r="AO16" s="2">
        <v>115.8</v>
      </c>
      <c r="AP16" s="2">
        <v>115.3</v>
      </c>
      <c r="AQ16" s="2">
        <v>115.2</v>
      </c>
      <c r="AR16" s="2">
        <v>115.3</v>
      </c>
      <c r="AS16" s="2">
        <v>116.2</v>
      </c>
      <c r="AT16" s="2">
        <v>116.0</v>
      </c>
      <c r="AU16" s="2">
        <v>116.1</v>
      </c>
      <c r="AV16" s="2">
        <v>117.2</v>
      </c>
      <c r="AW16" s="2">
        <v>118.2</v>
      </c>
      <c r="AX16" s="2">
        <v>117.6</v>
      </c>
      <c r="AY16" s="2">
        <v>118.2</v>
      </c>
      <c r="AZ16" s="2">
        <v>120.0</v>
      </c>
      <c r="BA16" s="2">
        <v>118.9</v>
      </c>
      <c r="BB16" s="2">
        <v>119.5</v>
      </c>
      <c r="BC16" s="2">
        <v>122.0</v>
      </c>
      <c r="BD16" s="2">
        <v>120.4</v>
      </c>
      <c r="BE16" s="2">
        <v>123.3</v>
      </c>
      <c r="BF16" s="2">
        <v>127.1</v>
      </c>
      <c r="BG16" s="2">
        <v>124.7</v>
      </c>
      <c r="BH16" s="2">
        <v>125.3</v>
      </c>
      <c r="BI16" s="2">
        <v>128.9</v>
      </c>
      <c r="BJ16" s="2">
        <v>126.6</v>
      </c>
      <c r="BK16" s="2">
        <v>125.3</v>
      </c>
      <c r="BL16" s="2">
        <v>126.7</v>
      </c>
      <c r="BM16" s="2">
        <v>125.8</v>
      </c>
      <c r="BN16" s="2">
        <v>125.1</v>
      </c>
      <c r="BO16" s="2">
        <v>125.8</v>
      </c>
      <c r="BP16" s="2">
        <v>125.4</v>
      </c>
      <c r="BQ16" s="2">
        <v>124.9</v>
      </c>
      <c r="BR16" s="2">
        <v>125.4</v>
      </c>
      <c r="BS16" s="2">
        <v>125.1</v>
      </c>
      <c r="BT16" s="2">
        <v>123.3</v>
      </c>
      <c r="BU16" s="2">
        <v>124.0</v>
      </c>
      <c r="BV16" s="2">
        <v>123.6</v>
      </c>
      <c r="BW16" s="2">
        <v>122.8</v>
      </c>
      <c r="BX16" s="2">
        <v>123.5</v>
      </c>
      <c r="BY16" s="2">
        <v>123.1</v>
      </c>
      <c r="BZ16" s="2">
        <v>122.8</v>
      </c>
      <c r="CA16" s="2">
        <v>123.7</v>
      </c>
      <c r="CB16" s="2">
        <v>123.1</v>
      </c>
      <c r="CC16" s="2">
        <v>123.1</v>
      </c>
      <c r="CD16" s="2">
        <v>123.9</v>
      </c>
      <c r="CE16" s="2">
        <v>123.4</v>
      </c>
      <c r="CF16" s="2">
        <v>123.6</v>
      </c>
      <c r="CG16" s="2">
        <v>124.6</v>
      </c>
      <c r="CH16" s="2">
        <v>124.0</v>
      </c>
      <c r="CI16" s="2">
        <v>124.4</v>
      </c>
      <c r="CJ16" s="2">
        <v>126.1</v>
      </c>
      <c r="CK16" s="2">
        <v>125.0</v>
      </c>
      <c r="CL16" s="2">
        <v>126.6</v>
      </c>
      <c r="CM16" s="2">
        <v>128.5</v>
      </c>
      <c r="CN16" s="2">
        <v>127.3</v>
      </c>
      <c r="CO16" s="2">
        <v>127.5</v>
      </c>
      <c r="CP16" s="2">
        <v>129.5</v>
      </c>
      <c r="CQ16" s="2">
        <v>128.2</v>
      </c>
      <c r="CR16" s="2">
        <v>129.8</v>
      </c>
      <c r="CS16" s="2">
        <v>131.1</v>
      </c>
      <c r="CT16" s="2">
        <v>130.3</v>
      </c>
      <c r="CU16" s="2">
        <v>131.0</v>
      </c>
      <c r="CV16" s="2">
        <v>131.5</v>
      </c>
      <c r="CW16" s="2">
        <v>131.2</v>
      </c>
      <c r="CX16" s="2">
        <v>131.8</v>
      </c>
      <c r="CY16" s="2">
        <v>132.6</v>
      </c>
      <c r="CZ16" s="2">
        <v>132.1</v>
      </c>
      <c r="DA16" s="2">
        <v>132.4</v>
      </c>
      <c r="DB16" s="2">
        <v>133.3</v>
      </c>
      <c r="DC16" s="2">
        <v>132.7</v>
      </c>
      <c r="DD16" s="2">
        <v>131.4</v>
      </c>
      <c r="DE16" s="2">
        <v>131.5</v>
      </c>
      <c r="DF16" s="2">
        <v>131.4</v>
      </c>
      <c r="DG16" s="2">
        <v>131.4</v>
      </c>
      <c r="DH16" s="2">
        <v>131.2</v>
      </c>
      <c r="DI16" s="2">
        <v>131.3</v>
      </c>
      <c r="DJ16" s="2">
        <v>130.3</v>
      </c>
      <c r="DK16" s="2">
        <v>129.1</v>
      </c>
      <c r="DL16" s="2">
        <v>129.9</v>
      </c>
      <c r="DM16" s="2">
        <v>130.4</v>
      </c>
      <c r="DN16" s="2">
        <v>128.9</v>
      </c>
      <c r="DO16" s="2">
        <v>129.8</v>
      </c>
      <c r="DP16" s="2">
        <v>131.8</v>
      </c>
      <c r="DQ16" s="2">
        <v>131.8</v>
      </c>
      <c r="DR16" s="2">
        <v>131.8</v>
      </c>
      <c r="DS16" s="2">
        <v>133.6</v>
      </c>
      <c r="DT16" s="2">
        <v>134.6</v>
      </c>
      <c r="DU16" s="2">
        <v>134.0</v>
      </c>
      <c r="DV16" s="2">
        <v>136.0</v>
      </c>
      <c r="DW16" s="2">
        <v>138.2</v>
      </c>
      <c r="DX16" s="2">
        <v>136.8</v>
      </c>
      <c r="DY16" s="2">
        <v>137.6</v>
      </c>
      <c r="DZ16" s="2">
        <v>139.8</v>
      </c>
      <c r="EA16" s="2">
        <v>138.4</v>
      </c>
      <c r="EB16" s="2">
        <v>138.0</v>
      </c>
      <c r="EC16" s="2">
        <v>137.6</v>
      </c>
      <c r="ED16" s="2">
        <v>137.9</v>
      </c>
      <c r="EE16" s="2">
        <v>137.2</v>
      </c>
      <c r="EF16" s="2">
        <v>135.7</v>
      </c>
      <c r="EG16" s="2">
        <v>136.6</v>
      </c>
      <c r="EH16" s="2">
        <v>137.4</v>
      </c>
      <c r="EI16" s="2">
        <v>136.3</v>
      </c>
      <c r="EJ16" s="2">
        <v>137.0</v>
      </c>
      <c r="EK16" s="2">
        <v>136.6</v>
      </c>
      <c r="EL16" s="2">
        <v>135.2</v>
      </c>
      <c r="EM16" s="2">
        <v>136.1</v>
      </c>
      <c r="EN16" s="2">
        <v>134.7</v>
      </c>
      <c r="EO16" s="2">
        <v>132.8</v>
      </c>
      <c r="EP16" s="2">
        <v>134.0</v>
      </c>
      <c r="EQ16" s="2">
        <v>133.7</v>
      </c>
      <c r="ER16" s="2">
        <v>132.0</v>
      </c>
      <c r="ES16" s="2">
        <v>133.1</v>
      </c>
      <c r="ET16" s="2">
        <v>133.6</v>
      </c>
      <c r="EU16" s="2">
        <v>132.1</v>
      </c>
      <c r="EV16" s="2">
        <v>133.0</v>
      </c>
      <c r="EW16" s="2">
        <v>133.4</v>
      </c>
      <c r="EX16" s="2">
        <v>132.6</v>
      </c>
      <c r="EY16" s="2">
        <v>133.1</v>
      </c>
      <c r="EZ16" s="2">
        <v>133.5</v>
      </c>
      <c r="FA16" s="2">
        <v>133.4</v>
      </c>
      <c r="FB16" s="2">
        <v>133.5</v>
      </c>
      <c r="FC16" s="2">
        <v>133.8</v>
      </c>
      <c r="FD16" s="2">
        <v>133.6</v>
      </c>
      <c r="FE16" s="2">
        <v>133.7</v>
      </c>
      <c r="FF16" s="2">
        <v>134.9</v>
      </c>
      <c r="FG16" s="2">
        <v>135.7</v>
      </c>
      <c r="FH16" s="2">
        <v>135.2</v>
      </c>
      <c r="FI16" s="2">
        <v>138.5</v>
      </c>
      <c r="FJ16" s="2">
        <v>139.8</v>
      </c>
      <c r="FK16" s="2">
        <v>139.0</v>
      </c>
      <c r="FL16" s="2">
        <v>140.6</v>
      </c>
      <c r="FM16" s="2">
        <v>140.5</v>
      </c>
      <c r="FN16" s="2">
        <v>140.6</v>
      </c>
      <c r="FO16" s="2">
        <v>139.6</v>
      </c>
      <c r="FP16" s="2">
        <v>138.0</v>
      </c>
      <c r="FQ16" s="2">
        <v>139.0</v>
      </c>
      <c r="FR16" s="2">
        <v>140.4</v>
      </c>
      <c r="FS16" s="2">
        <v>139.7</v>
      </c>
      <c r="FT16" s="2">
        <v>140.1</v>
      </c>
      <c r="FU16" s="2">
        <v>142.4</v>
      </c>
      <c r="FV16" s="2">
        <v>141.5</v>
      </c>
      <c r="FW16" s="2">
        <v>142.1</v>
      </c>
      <c r="FX16" s="2">
        <v>141.5</v>
      </c>
      <c r="FY16" s="2">
        <v>138.8</v>
      </c>
      <c r="FZ16" s="2">
        <v>140.5</v>
      </c>
      <c r="GA16" s="2">
        <v>140.4</v>
      </c>
      <c r="GB16" s="2">
        <v>137.2</v>
      </c>
      <c r="GC16" s="2">
        <v>139.2</v>
      </c>
      <c r="GD16" s="2">
        <v>138.7</v>
      </c>
      <c r="GE16" s="2">
        <v>135.6</v>
      </c>
      <c r="GF16" s="2">
        <v>137.6</v>
      </c>
      <c r="GG16" s="2">
        <v>138.6</v>
      </c>
      <c r="GH16" s="2">
        <v>134.8</v>
      </c>
      <c r="GI16" s="2">
        <v>137.2</v>
      </c>
      <c r="GJ16" s="2">
        <v>138.6</v>
      </c>
      <c r="GK16" s="2">
        <v>135.7</v>
      </c>
      <c r="GL16" s="2">
        <v>137.5</v>
      </c>
      <c r="GM16" s="2">
        <v>139.1</v>
      </c>
      <c r="GN16" s="2">
        <v>136.4</v>
      </c>
      <c r="GO16" s="2">
        <v>138.1</v>
      </c>
      <c r="GP16" s="2">
        <v>140.0</v>
      </c>
      <c r="GQ16" s="2">
        <v>138.4</v>
      </c>
      <c r="GR16" s="2">
        <v>139.4</v>
      </c>
      <c r="GS16" s="2">
        <v>142.0</v>
      </c>
      <c r="GT16" s="2">
        <v>140.3</v>
      </c>
      <c r="GU16" s="2">
        <v>141.4</v>
      </c>
      <c r="GV16" s="2">
        <v>142.7</v>
      </c>
      <c r="GW16" s="2">
        <v>140.1</v>
      </c>
      <c r="GX16" s="2">
        <v>141.7</v>
      </c>
      <c r="GY16" s="2">
        <v>141.3</v>
      </c>
      <c r="GZ16" s="2">
        <v>138.9</v>
      </c>
      <c r="HA16" s="2">
        <v>140.4</v>
      </c>
      <c r="HB16" s="2">
        <v>140.2</v>
      </c>
      <c r="HC16" s="2">
        <v>139.4</v>
      </c>
      <c r="HD16" s="2">
        <v>139.7</v>
      </c>
      <c r="HE16" s="2">
        <v>140.0</v>
      </c>
      <c r="HF16" s="2">
        <v>139.1</v>
      </c>
      <c r="HG16" s="2">
        <v>139.7</v>
      </c>
      <c r="HH16" s="2">
        <v>138.5</v>
      </c>
      <c r="HI16" s="2">
        <v>137.6</v>
      </c>
      <c r="HJ16" s="2">
        <v>138.2</v>
      </c>
      <c r="HK16" s="2">
        <v>137.4</v>
      </c>
      <c r="HL16" s="2">
        <v>137.3</v>
      </c>
      <c r="HM16" s="2">
        <v>137.4</v>
      </c>
      <c r="HN16" s="2">
        <v>137.2</v>
      </c>
      <c r="HO16" s="2">
        <v>138.0</v>
      </c>
      <c r="HP16" s="2">
        <v>137.5</v>
      </c>
      <c r="HQ16" s="2">
        <v>137.3</v>
      </c>
      <c r="HR16" s="2">
        <v>139.6</v>
      </c>
      <c r="HS16" s="2">
        <v>138.1</v>
      </c>
      <c r="HT16" s="2">
        <v>139.2</v>
      </c>
      <c r="HU16" s="2">
        <v>143.8</v>
      </c>
      <c r="HV16" s="2">
        <v>140.9</v>
      </c>
      <c r="HW16" s="2">
        <v>141.0</v>
      </c>
      <c r="HX16" s="2">
        <v>145.6</v>
      </c>
      <c r="HY16" s="2">
        <v>142.7</v>
      </c>
      <c r="HZ16" s="2">
        <v>143.0</v>
      </c>
      <c r="IA16" s="2">
        <v>147.7</v>
      </c>
      <c r="IB16" s="2">
        <v>144.7</v>
      </c>
      <c r="IC16" s="2">
        <v>144.0</v>
      </c>
      <c r="ID16" s="2">
        <v>149.1</v>
      </c>
      <c r="IE16" s="2">
        <v>145.9</v>
      </c>
      <c r="IF16" s="2">
        <v>145.5</v>
      </c>
      <c r="IG16" s="2">
        <v>149.5</v>
      </c>
      <c r="IH16" s="2">
        <v>147.0</v>
      </c>
      <c r="II16" s="2">
        <v>148.3</v>
      </c>
      <c r="IJ16" s="2">
        <v>151.9</v>
      </c>
      <c r="IK16" s="2">
        <v>149.6</v>
      </c>
      <c r="IL16" s="2">
        <v>150.9</v>
      </c>
      <c r="IM16" s="2">
        <v>153.6</v>
      </c>
      <c r="IN16" s="2">
        <v>151.9</v>
      </c>
      <c r="IO16" s="2">
        <v>154.3</v>
      </c>
      <c r="IP16" s="2">
        <v>156.3</v>
      </c>
      <c r="IQ16" s="2">
        <v>155.0</v>
      </c>
      <c r="IR16" s="2">
        <v>153.0</v>
      </c>
      <c r="IS16" s="2">
        <v>154.4</v>
      </c>
      <c r="IT16" s="2">
        <v>153.5</v>
      </c>
      <c r="IU16" s="2">
        <v>149.8</v>
      </c>
      <c r="IV16" s="2">
        <v>151.7</v>
      </c>
      <c r="IW16" s="2">
        <v>150.5</v>
      </c>
      <c r="IX16" s="2">
        <v>148.2</v>
      </c>
      <c r="IY16" s="2">
        <v>150.1</v>
      </c>
      <c r="IZ16" s="2">
        <v>148.9</v>
      </c>
      <c r="JA16" s="2">
        <v>150.1</v>
      </c>
      <c r="JB16" s="2">
        <v>153.5</v>
      </c>
      <c r="JC16" s="2">
        <v>151.4</v>
      </c>
      <c r="JD16" s="2" t="s">
        <v>32</v>
      </c>
      <c r="JE16" s="2" t="s">
        <v>32</v>
      </c>
      <c r="JF16" s="2" t="s">
        <v>32</v>
      </c>
      <c r="JG16" s="2">
        <v>152.3</v>
      </c>
      <c r="JH16" s="2">
        <v>157.0</v>
      </c>
      <c r="JI16" s="2">
        <v>154.0</v>
      </c>
      <c r="JJ16" s="2">
        <v>152.3</v>
      </c>
      <c r="JK16" s="2">
        <v>157.0</v>
      </c>
      <c r="JL16" s="2">
        <v>154.0</v>
      </c>
      <c r="JM16" s="2">
        <v>155.3</v>
      </c>
      <c r="JN16" s="2">
        <v>159.9</v>
      </c>
      <c r="JO16" s="2">
        <v>157.0</v>
      </c>
      <c r="JP16" s="2">
        <v>156.1</v>
      </c>
      <c r="JQ16" s="2">
        <v>161.3</v>
      </c>
      <c r="JR16" s="2">
        <v>158.0</v>
      </c>
      <c r="JS16" s="2">
        <v>159.6</v>
      </c>
      <c r="JT16" s="2">
        <v>164.4</v>
      </c>
      <c r="JU16" s="2">
        <v>161.4</v>
      </c>
      <c r="JV16" s="2">
        <v>163.4</v>
      </c>
      <c r="JW16" s="2">
        <v>167.0</v>
      </c>
      <c r="JX16" s="2">
        <v>164.7</v>
      </c>
      <c r="JY16" s="2">
        <v>164.5</v>
      </c>
      <c r="JZ16" s="2">
        <v>167.0</v>
      </c>
      <c r="KA16" s="2">
        <v>165.4</v>
      </c>
      <c r="KB16" s="2">
        <v>159.6</v>
      </c>
      <c r="KC16" s="2">
        <v>163.4</v>
      </c>
      <c r="KD16" s="2">
        <v>161.0</v>
      </c>
      <c r="KE16" s="2">
        <v>154.7</v>
      </c>
      <c r="KF16" s="2">
        <v>160.8</v>
      </c>
      <c r="KG16" s="2">
        <v>156.9</v>
      </c>
      <c r="KH16" s="2">
        <v>154.5</v>
      </c>
      <c r="KI16" s="2">
        <v>160.4</v>
      </c>
      <c r="KJ16" s="2">
        <v>156.7</v>
      </c>
      <c r="KK16" s="2">
        <v>155.6</v>
      </c>
      <c r="KL16" s="2">
        <v>162.0</v>
      </c>
      <c r="KM16" s="2">
        <v>158.0</v>
      </c>
      <c r="KN16" s="2">
        <v>158.7</v>
      </c>
      <c r="KO16" s="2">
        <v>164.2</v>
      </c>
      <c r="KP16" s="2">
        <v>160.7</v>
      </c>
      <c r="KQ16" s="2">
        <v>160.5</v>
      </c>
      <c r="KR16" s="2">
        <v>166.2</v>
      </c>
      <c r="KS16" s="2">
        <v>162.6</v>
      </c>
      <c r="KT16" s="2">
        <v>161.7</v>
      </c>
      <c r="KU16" s="2">
        <v>167.9</v>
      </c>
      <c r="KV16" s="2">
        <v>164.0</v>
      </c>
      <c r="KW16" s="2">
        <v>161.8</v>
      </c>
      <c r="KX16" s="2">
        <v>167.3</v>
      </c>
      <c r="KY16" s="2">
        <v>164.0</v>
      </c>
      <c r="KZ16" s="2">
        <v>162.1</v>
      </c>
      <c r="LA16" s="2">
        <v>167.3</v>
      </c>
      <c r="LB16" s="2">
        <v>164.0</v>
      </c>
      <c r="LC16" s="2">
        <v>165.5</v>
      </c>
      <c r="LD16" s="2">
        <v>171.5</v>
      </c>
      <c r="LE16" s="2">
        <v>167.7</v>
      </c>
      <c r="LF16" s="2">
        <v>167.5</v>
      </c>
      <c r="LG16" s="2">
        <v>173.5</v>
      </c>
      <c r="LH16" s="2">
        <v>169.7</v>
      </c>
      <c r="LI16" s="2">
        <v>165.8</v>
      </c>
      <c r="LJ16" s="2">
        <v>172.2</v>
      </c>
      <c r="LK16" s="2">
        <v>168.2</v>
      </c>
      <c r="LL16" s="2">
        <v>164.1</v>
      </c>
      <c r="LM16" s="2">
        <v>170.3</v>
      </c>
      <c r="LN16" s="2">
        <v>166.4</v>
      </c>
      <c r="LO16" s="2">
        <v>163.9</v>
      </c>
      <c r="LP16" s="2">
        <v>170.2</v>
      </c>
      <c r="LQ16" s="2">
        <v>166.2</v>
      </c>
      <c r="LR16" s="2">
        <v>166.6</v>
      </c>
      <c r="LS16" s="2">
        <v>171.5</v>
      </c>
      <c r="LT16" s="2">
        <v>168.4</v>
      </c>
      <c r="LU16" s="2">
        <v>168.6</v>
      </c>
      <c r="LV16" s="2">
        <v>174.5</v>
      </c>
      <c r="LW16" s="2">
        <v>170.8</v>
      </c>
      <c r="LX16" s="2">
        <v>170.8</v>
      </c>
      <c r="LY16" s="2">
        <v>177.5</v>
      </c>
      <c r="LZ16" s="2">
        <v>173.3</v>
      </c>
      <c r="MA16" s="2">
        <v>172.4</v>
      </c>
      <c r="MB16" s="2">
        <v>179.3</v>
      </c>
      <c r="MC16" s="2">
        <v>174.9</v>
      </c>
      <c r="MD16" s="2">
        <v>172.5</v>
      </c>
      <c r="ME16" s="2">
        <v>179.4</v>
      </c>
      <c r="MF16" s="2">
        <v>175.0</v>
      </c>
      <c r="MG16" s="2">
        <v>173.9</v>
      </c>
      <c r="MH16" s="2">
        <v>180.4</v>
      </c>
      <c r="MI16" s="2">
        <v>176.3</v>
      </c>
      <c r="MJ16" s="2">
        <v>175.5</v>
      </c>
      <c r="MK16" s="2">
        <v>181.8</v>
      </c>
      <c r="ML16" s="2">
        <v>177.8</v>
      </c>
      <c r="MM16" s="2">
        <v>177.4</v>
      </c>
      <c r="MN16" s="2">
        <v>183.3</v>
      </c>
      <c r="MO16" s="2">
        <v>179.6</v>
      </c>
      <c r="MP16" s="2">
        <v>176.6</v>
      </c>
      <c r="MQ16" s="2">
        <v>181.3</v>
      </c>
      <c r="MR16" s="2">
        <v>178.3</v>
      </c>
      <c r="MS16" s="2">
        <v>174.4</v>
      </c>
      <c r="MT16" s="2">
        <v>178.6</v>
      </c>
      <c r="MU16" s="2">
        <v>175.9</v>
      </c>
      <c r="MV16" s="2">
        <v>175.0</v>
      </c>
      <c r="MW16" s="2">
        <v>179.5</v>
      </c>
      <c r="MX16" s="2">
        <v>176.7</v>
      </c>
      <c r="MY16" s="2">
        <v>174.8</v>
      </c>
      <c r="MZ16" s="2">
        <v>180.7</v>
      </c>
      <c r="NA16" s="2">
        <v>177.0</v>
      </c>
      <c r="NB16" s="2">
        <v>174.8</v>
      </c>
      <c r="NC16" s="2">
        <v>180.8</v>
      </c>
      <c r="ND16" s="2">
        <v>177.0</v>
      </c>
      <c r="NE16" s="2">
        <v>175.5</v>
      </c>
      <c r="NF16" s="2">
        <v>182.1</v>
      </c>
      <c r="NG16" s="2">
        <v>177.9</v>
      </c>
      <c r="NH16" s="2">
        <v>176.8</v>
      </c>
      <c r="NI16" s="2">
        <v>183.1</v>
      </c>
      <c r="NJ16" s="2">
        <v>179.1</v>
      </c>
    </row>
    <row r="17">
      <c r="A17" s="2" t="s">
        <v>16</v>
      </c>
      <c r="B17" s="2" t="s">
        <v>50</v>
      </c>
      <c r="C17" s="2">
        <v>105.1</v>
      </c>
      <c r="D17" s="2">
        <v>105.2</v>
      </c>
      <c r="E17" s="2">
        <v>105.1</v>
      </c>
      <c r="F17" s="2">
        <v>105.6</v>
      </c>
      <c r="G17" s="2">
        <v>106.0</v>
      </c>
      <c r="H17" s="2">
        <v>105.7</v>
      </c>
      <c r="I17" s="2">
        <v>106.5</v>
      </c>
      <c r="J17" s="2">
        <v>106.8</v>
      </c>
      <c r="K17" s="2">
        <v>106.6</v>
      </c>
      <c r="L17" s="2">
        <v>107.1</v>
      </c>
      <c r="M17" s="2">
        <v>108.5</v>
      </c>
      <c r="N17" s="2">
        <v>107.5</v>
      </c>
      <c r="O17" s="2">
        <v>108.1</v>
      </c>
      <c r="P17" s="2">
        <v>109.8</v>
      </c>
      <c r="Q17" s="2">
        <v>108.6</v>
      </c>
      <c r="R17" s="2">
        <v>109.0</v>
      </c>
      <c r="S17" s="2">
        <v>110.9</v>
      </c>
      <c r="T17" s="2">
        <v>109.5</v>
      </c>
      <c r="U17" s="2">
        <v>109.8</v>
      </c>
      <c r="V17" s="2">
        <v>111.7</v>
      </c>
      <c r="W17" s="2">
        <v>110.3</v>
      </c>
      <c r="X17" s="2">
        <v>110.7</v>
      </c>
      <c r="Y17" s="2">
        <v>112.4</v>
      </c>
      <c r="Z17" s="2">
        <v>111.2</v>
      </c>
      <c r="AA17" s="2">
        <v>111.7</v>
      </c>
      <c r="AB17" s="2">
        <v>112.9</v>
      </c>
      <c r="AC17" s="2">
        <v>112.0</v>
      </c>
      <c r="AD17" s="2">
        <v>112.2</v>
      </c>
      <c r="AE17" s="2">
        <v>113.5</v>
      </c>
      <c r="AF17" s="2">
        <v>112.5</v>
      </c>
      <c r="AG17" s="2">
        <v>112.8</v>
      </c>
      <c r="AH17" s="2">
        <v>114.1</v>
      </c>
      <c r="AI17" s="2">
        <v>113.1</v>
      </c>
      <c r="AJ17" s="2">
        <v>113.6</v>
      </c>
      <c r="AK17" s="2">
        <v>115.0</v>
      </c>
      <c r="AL17" s="2">
        <v>114.0</v>
      </c>
      <c r="AM17" s="2">
        <v>114.0</v>
      </c>
      <c r="AN17" s="2">
        <v>115.7</v>
      </c>
      <c r="AO17" s="2">
        <v>114.5</v>
      </c>
      <c r="AP17" s="2">
        <v>114.2</v>
      </c>
      <c r="AQ17" s="2">
        <v>116.2</v>
      </c>
      <c r="AR17" s="2">
        <v>114.7</v>
      </c>
      <c r="AS17" s="2">
        <v>114.6</v>
      </c>
      <c r="AT17" s="2">
        <v>116.7</v>
      </c>
      <c r="AU17" s="2">
        <v>115.2</v>
      </c>
      <c r="AV17" s="2">
        <v>115.4</v>
      </c>
      <c r="AW17" s="2">
        <v>117.6</v>
      </c>
      <c r="AX17" s="2">
        <v>116.0</v>
      </c>
      <c r="AY17" s="2">
        <v>116.3</v>
      </c>
      <c r="AZ17" s="2">
        <v>118.3</v>
      </c>
      <c r="BA17" s="2">
        <v>116.8</v>
      </c>
      <c r="BB17" s="2">
        <v>117.3</v>
      </c>
      <c r="BC17" s="2">
        <v>119.0</v>
      </c>
      <c r="BD17" s="2">
        <v>117.8</v>
      </c>
      <c r="BE17" s="2">
        <v>118.0</v>
      </c>
      <c r="BF17" s="2">
        <v>121.0</v>
      </c>
      <c r="BG17" s="2">
        <v>118.8</v>
      </c>
      <c r="BH17" s="2">
        <v>118.8</v>
      </c>
      <c r="BI17" s="2">
        <v>123.0</v>
      </c>
      <c r="BJ17" s="2">
        <v>119.9</v>
      </c>
      <c r="BK17" s="2">
        <v>119.5</v>
      </c>
      <c r="BL17" s="2">
        <v>124.3</v>
      </c>
      <c r="BM17" s="2">
        <v>120.8</v>
      </c>
      <c r="BN17" s="2">
        <v>120.0</v>
      </c>
      <c r="BO17" s="2">
        <v>124.3</v>
      </c>
      <c r="BP17" s="2">
        <v>121.1</v>
      </c>
      <c r="BQ17" s="2">
        <v>120.8</v>
      </c>
      <c r="BR17" s="2">
        <v>125.8</v>
      </c>
      <c r="BS17" s="2">
        <v>122.1</v>
      </c>
      <c r="BT17" s="2">
        <v>121.7</v>
      </c>
      <c r="BU17" s="2">
        <v>126.4</v>
      </c>
      <c r="BV17" s="2">
        <v>123.0</v>
      </c>
      <c r="BW17" s="2">
        <v>122.7</v>
      </c>
      <c r="BX17" s="2">
        <v>127.4</v>
      </c>
      <c r="BY17" s="2">
        <v>124.0</v>
      </c>
      <c r="BZ17" s="2">
        <v>124.2</v>
      </c>
      <c r="CA17" s="2">
        <v>128.1</v>
      </c>
      <c r="CB17" s="2">
        <v>125.2</v>
      </c>
      <c r="CC17" s="2">
        <v>124.7</v>
      </c>
      <c r="CD17" s="2">
        <v>128.8</v>
      </c>
      <c r="CE17" s="2">
        <v>125.8</v>
      </c>
      <c r="CF17" s="2">
        <v>125.7</v>
      </c>
      <c r="CG17" s="2">
        <v>130.1</v>
      </c>
      <c r="CH17" s="2">
        <v>126.9</v>
      </c>
      <c r="CI17" s="2">
        <v>126.7</v>
      </c>
      <c r="CJ17" s="2">
        <v>131.3</v>
      </c>
      <c r="CK17" s="2">
        <v>127.9</v>
      </c>
      <c r="CL17" s="2">
        <v>128.2</v>
      </c>
      <c r="CM17" s="2">
        <v>132.1</v>
      </c>
      <c r="CN17" s="2">
        <v>129.2</v>
      </c>
      <c r="CO17" s="2">
        <v>129.4</v>
      </c>
      <c r="CP17" s="2">
        <v>133.1</v>
      </c>
      <c r="CQ17" s="2">
        <v>130.4</v>
      </c>
      <c r="CR17" s="2">
        <v>130.1</v>
      </c>
      <c r="CS17" s="2">
        <v>134.2</v>
      </c>
      <c r="CT17" s="2">
        <v>131.2</v>
      </c>
      <c r="CU17" s="2">
        <v>131.0</v>
      </c>
      <c r="CV17" s="2">
        <v>134.7</v>
      </c>
      <c r="CW17" s="2">
        <v>132.0</v>
      </c>
      <c r="CX17" s="2">
        <v>131.5</v>
      </c>
      <c r="CY17" s="2">
        <v>135.3</v>
      </c>
      <c r="CZ17" s="2">
        <v>132.5</v>
      </c>
      <c r="DA17" s="2">
        <v>132.2</v>
      </c>
      <c r="DB17" s="2">
        <v>137.6</v>
      </c>
      <c r="DC17" s="2">
        <v>133.6</v>
      </c>
      <c r="DD17" s="2">
        <v>133.1</v>
      </c>
      <c r="DE17" s="2">
        <v>138.2</v>
      </c>
      <c r="DF17" s="2">
        <v>134.5</v>
      </c>
      <c r="DG17" s="2">
        <v>133.6</v>
      </c>
      <c r="DH17" s="2">
        <v>139.5</v>
      </c>
      <c r="DI17" s="2">
        <v>135.2</v>
      </c>
      <c r="DJ17" s="2">
        <v>134.4</v>
      </c>
      <c r="DK17" s="2">
        <v>140.0</v>
      </c>
      <c r="DL17" s="2">
        <v>135.9</v>
      </c>
      <c r="DM17" s="2">
        <v>135.0</v>
      </c>
      <c r="DN17" s="2">
        <v>140.6</v>
      </c>
      <c r="DO17" s="2">
        <v>136.5</v>
      </c>
      <c r="DP17" s="2">
        <v>135.5</v>
      </c>
      <c r="DQ17" s="2">
        <v>141.5</v>
      </c>
      <c r="DR17" s="2">
        <v>137.1</v>
      </c>
      <c r="DS17" s="2">
        <v>136.0</v>
      </c>
      <c r="DT17" s="2">
        <v>142.2</v>
      </c>
      <c r="DU17" s="2">
        <v>137.7</v>
      </c>
      <c r="DV17" s="2">
        <v>137.2</v>
      </c>
      <c r="DW17" s="2">
        <v>142.7</v>
      </c>
      <c r="DX17" s="2">
        <v>138.7</v>
      </c>
      <c r="DY17" s="2">
        <v>138.0</v>
      </c>
      <c r="DZ17" s="2">
        <v>142.9</v>
      </c>
      <c r="EA17" s="2">
        <v>139.3</v>
      </c>
      <c r="EB17" s="2">
        <v>138.9</v>
      </c>
      <c r="EC17" s="2">
        <v>143.6</v>
      </c>
      <c r="ED17" s="2">
        <v>140.2</v>
      </c>
      <c r="EE17" s="2">
        <v>139.9</v>
      </c>
      <c r="EF17" s="2">
        <v>143.9</v>
      </c>
      <c r="EG17" s="2">
        <v>141.0</v>
      </c>
      <c r="EH17" s="2">
        <v>140.9</v>
      </c>
      <c r="EI17" s="2">
        <v>144.3</v>
      </c>
      <c r="EJ17" s="2">
        <v>141.8</v>
      </c>
      <c r="EK17" s="2">
        <v>141.2</v>
      </c>
      <c r="EL17" s="2">
        <v>144.3</v>
      </c>
      <c r="EM17" s="2">
        <v>142.0</v>
      </c>
      <c r="EN17" s="2">
        <v>142.4</v>
      </c>
      <c r="EO17" s="2">
        <v>145.0</v>
      </c>
      <c r="EP17" s="2">
        <v>143.1</v>
      </c>
      <c r="EQ17" s="2">
        <v>143.1</v>
      </c>
      <c r="ER17" s="2">
        <v>145.6</v>
      </c>
      <c r="ES17" s="2">
        <v>143.8</v>
      </c>
      <c r="ET17" s="2">
        <v>143.7</v>
      </c>
      <c r="EU17" s="2">
        <v>146.3</v>
      </c>
      <c r="EV17" s="2">
        <v>144.4</v>
      </c>
      <c r="EW17" s="2">
        <v>144.2</v>
      </c>
      <c r="EX17" s="2">
        <v>147.5</v>
      </c>
      <c r="EY17" s="2">
        <v>145.1</v>
      </c>
      <c r="EZ17" s="2">
        <v>144.4</v>
      </c>
      <c r="FA17" s="2">
        <v>148.0</v>
      </c>
      <c r="FB17" s="2">
        <v>145.4</v>
      </c>
      <c r="FC17" s="2">
        <v>145.5</v>
      </c>
      <c r="FD17" s="2">
        <v>148.3</v>
      </c>
      <c r="FE17" s="2">
        <v>146.2</v>
      </c>
      <c r="FF17" s="2">
        <v>145.8</v>
      </c>
      <c r="FG17" s="2">
        <v>148.6</v>
      </c>
      <c r="FH17" s="2">
        <v>146.5</v>
      </c>
      <c r="FI17" s="2">
        <v>147.4</v>
      </c>
      <c r="FJ17" s="2">
        <v>150.5</v>
      </c>
      <c r="FK17" s="2">
        <v>148.2</v>
      </c>
      <c r="FL17" s="2">
        <v>149.0</v>
      </c>
      <c r="FM17" s="2">
        <v>152.1</v>
      </c>
      <c r="FN17" s="2">
        <v>149.8</v>
      </c>
      <c r="FO17" s="2">
        <v>149.8</v>
      </c>
      <c r="FP17" s="2">
        <v>153.6</v>
      </c>
      <c r="FQ17" s="2">
        <v>150.8</v>
      </c>
      <c r="FR17" s="2">
        <v>150.5</v>
      </c>
      <c r="FS17" s="2">
        <v>154.6</v>
      </c>
      <c r="FT17" s="2">
        <v>151.6</v>
      </c>
      <c r="FU17" s="2">
        <v>152.1</v>
      </c>
      <c r="FV17" s="2">
        <v>156.2</v>
      </c>
      <c r="FW17" s="2">
        <v>153.2</v>
      </c>
      <c r="FX17" s="2">
        <v>153.2</v>
      </c>
      <c r="FY17" s="2">
        <v>157.0</v>
      </c>
      <c r="FZ17" s="2">
        <v>154.2</v>
      </c>
      <c r="GA17" s="2">
        <v>153.6</v>
      </c>
      <c r="GB17" s="2">
        <v>157.7</v>
      </c>
      <c r="GC17" s="2">
        <v>154.7</v>
      </c>
      <c r="GD17" s="2">
        <v>153.3</v>
      </c>
      <c r="GE17" s="2">
        <v>159.3</v>
      </c>
      <c r="GF17" s="2">
        <v>154.9</v>
      </c>
      <c r="GG17" s="2">
        <v>155.1</v>
      </c>
      <c r="GH17" s="2">
        <v>159.7</v>
      </c>
      <c r="GI17" s="2">
        <v>156.3</v>
      </c>
      <c r="GJ17" s="2">
        <v>156.1</v>
      </c>
      <c r="GK17" s="2">
        <v>159.2</v>
      </c>
      <c r="GL17" s="2">
        <v>156.9</v>
      </c>
      <c r="GM17" s="2">
        <v>157.0</v>
      </c>
      <c r="GN17" s="2">
        <v>160.3</v>
      </c>
      <c r="GO17" s="2">
        <v>157.9</v>
      </c>
      <c r="GP17" s="2">
        <v>157.3</v>
      </c>
      <c r="GQ17" s="2">
        <v>161.0</v>
      </c>
      <c r="GR17" s="2">
        <v>158.3</v>
      </c>
      <c r="GS17" s="2">
        <v>156.1</v>
      </c>
      <c r="GT17" s="2">
        <v>161.4</v>
      </c>
      <c r="GU17" s="2">
        <v>157.5</v>
      </c>
      <c r="GV17" s="2">
        <v>156.4</v>
      </c>
      <c r="GW17" s="2">
        <v>162.1</v>
      </c>
      <c r="GX17" s="2">
        <v>157.9</v>
      </c>
      <c r="GY17" s="2">
        <v>157.7</v>
      </c>
      <c r="GZ17" s="2">
        <v>163.3</v>
      </c>
      <c r="HA17" s="2">
        <v>159.2</v>
      </c>
      <c r="HB17" s="2">
        <v>159.6</v>
      </c>
      <c r="HC17" s="2">
        <v>164.0</v>
      </c>
      <c r="HD17" s="2">
        <v>162.6</v>
      </c>
      <c r="HE17" s="2">
        <v>161.9</v>
      </c>
      <c r="HF17" s="2">
        <v>164.4</v>
      </c>
      <c r="HG17" s="2">
        <v>162.6</v>
      </c>
      <c r="HH17" s="2">
        <v>162.4</v>
      </c>
      <c r="HI17" s="2">
        <v>164.6</v>
      </c>
      <c r="HJ17" s="2">
        <v>163.0</v>
      </c>
      <c r="HK17" s="2">
        <v>162.7</v>
      </c>
      <c r="HL17" s="2">
        <v>164.7</v>
      </c>
      <c r="HM17" s="2">
        <v>163.2</v>
      </c>
      <c r="HN17" s="2">
        <v>162.8</v>
      </c>
      <c r="HO17" s="2">
        <v>164.9</v>
      </c>
      <c r="HP17" s="2">
        <v>163.4</v>
      </c>
      <c r="HQ17" s="2">
        <v>162.9</v>
      </c>
      <c r="HR17" s="2">
        <v>165.3</v>
      </c>
      <c r="HS17" s="2">
        <v>163.5</v>
      </c>
      <c r="HT17" s="2">
        <v>163.3</v>
      </c>
      <c r="HU17" s="2">
        <v>166.2</v>
      </c>
      <c r="HV17" s="2">
        <v>164.1</v>
      </c>
      <c r="HW17" s="2">
        <v>164.2</v>
      </c>
      <c r="HX17" s="2">
        <v>166.7</v>
      </c>
      <c r="HY17" s="2">
        <v>164.9</v>
      </c>
      <c r="HZ17" s="2">
        <v>164.5</v>
      </c>
      <c r="IA17" s="2">
        <v>167.2</v>
      </c>
      <c r="IB17" s="2">
        <v>165.2</v>
      </c>
      <c r="IC17" s="2">
        <v>165.1</v>
      </c>
      <c r="ID17" s="2">
        <v>167.9</v>
      </c>
      <c r="IE17" s="2">
        <v>165.8</v>
      </c>
      <c r="IF17" s="2">
        <v>165.7</v>
      </c>
      <c r="IG17" s="2">
        <v>168.6</v>
      </c>
      <c r="IH17" s="2">
        <v>166.5</v>
      </c>
      <c r="II17" s="2">
        <v>166.3</v>
      </c>
      <c r="IJ17" s="2">
        <v>169.3</v>
      </c>
      <c r="IK17" s="2">
        <v>167.1</v>
      </c>
      <c r="IL17" s="2">
        <v>167.2</v>
      </c>
      <c r="IM17" s="2">
        <v>169.9</v>
      </c>
      <c r="IN17" s="2">
        <v>167.9</v>
      </c>
      <c r="IO17" s="2">
        <v>167.8</v>
      </c>
      <c r="IP17" s="2">
        <v>170.4</v>
      </c>
      <c r="IQ17" s="2">
        <v>168.5</v>
      </c>
      <c r="IR17" s="2">
        <v>168.6</v>
      </c>
      <c r="IS17" s="2">
        <v>170.8</v>
      </c>
      <c r="IT17" s="2">
        <v>169.2</v>
      </c>
      <c r="IU17" s="2">
        <v>169.4</v>
      </c>
      <c r="IV17" s="2">
        <v>172.0</v>
      </c>
      <c r="IW17" s="2">
        <v>170.1</v>
      </c>
      <c r="IX17" s="2">
        <v>170.5</v>
      </c>
      <c r="IY17" s="2">
        <v>173.3</v>
      </c>
      <c r="IZ17" s="2">
        <v>171.2</v>
      </c>
      <c r="JA17" s="2" t="s">
        <v>32</v>
      </c>
      <c r="JB17" s="2" t="s">
        <v>32</v>
      </c>
      <c r="JC17" s="2" t="s">
        <v>32</v>
      </c>
      <c r="JD17" s="2" t="s">
        <v>32</v>
      </c>
      <c r="JE17" s="2" t="s">
        <v>32</v>
      </c>
      <c r="JF17" s="2" t="s">
        <v>32</v>
      </c>
      <c r="JG17" s="2">
        <v>182.4</v>
      </c>
      <c r="JH17" s="2">
        <v>186.7</v>
      </c>
      <c r="JI17" s="2">
        <v>183.5</v>
      </c>
      <c r="JJ17" s="2">
        <v>182.4</v>
      </c>
      <c r="JK17" s="2">
        <v>186.7</v>
      </c>
      <c r="JL17" s="2">
        <v>183.5</v>
      </c>
      <c r="JM17" s="2">
        <v>180.9</v>
      </c>
      <c r="JN17" s="2">
        <v>187.2</v>
      </c>
      <c r="JO17" s="2">
        <v>182.6</v>
      </c>
      <c r="JP17" s="2">
        <v>182.9</v>
      </c>
      <c r="JQ17" s="2">
        <v>188.7</v>
      </c>
      <c r="JR17" s="2">
        <v>184.4</v>
      </c>
      <c r="JS17" s="2">
        <v>182.7</v>
      </c>
      <c r="JT17" s="2">
        <v>188.7</v>
      </c>
      <c r="JU17" s="2">
        <v>184.3</v>
      </c>
      <c r="JV17" s="2">
        <v>183.4</v>
      </c>
      <c r="JW17" s="2">
        <v>188.8</v>
      </c>
      <c r="JX17" s="2">
        <v>184.8</v>
      </c>
      <c r="JY17" s="2">
        <v>183.6</v>
      </c>
      <c r="JZ17" s="2">
        <v>190.2</v>
      </c>
      <c r="KA17" s="2">
        <v>185.4</v>
      </c>
      <c r="KB17" s="2">
        <v>184.6</v>
      </c>
      <c r="KC17" s="2">
        <v>191.8</v>
      </c>
      <c r="KD17" s="2">
        <v>186.5</v>
      </c>
      <c r="KE17" s="2">
        <v>186.5</v>
      </c>
      <c r="KF17" s="2">
        <v>193.3</v>
      </c>
      <c r="KG17" s="2">
        <v>188.3</v>
      </c>
      <c r="KH17" s="2">
        <v>186.1</v>
      </c>
      <c r="KI17" s="2">
        <v>193.5</v>
      </c>
      <c r="KJ17" s="2">
        <v>188.1</v>
      </c>
      <c r="KK17" s="2">
        <v>186.8</v>
      </c>
      <c r="KL17" s="2">
        <v>194.4</v>
      </c>
      <c r="KM17" s="2">
        <v>188.8</v>
      </c>
      <c r="KN17" s="2">
        <v>189.6</v>
      </c>
      <c r="KO17" s="2">
        <v>198.2</v>
      </c>
      <c r="KP17" s="2">
        <v>191.9</v>
      </c>
      <c r="KQ17" s="2">
        <v>189.1</v>
      </c>
      <c r="KR17" s="2">
        <v>195.6</v>
      </c>
      <c r="KS17" s="2">
        <v>190.8</v>
      </c>
      <c r="KT17" s="2">
        <v>189.7</v>
      </c>
      <c r="KU17" s="2">
        <v>195.5</v>
      </c>
      <c r="KV17" s="2">
        <v>191.2</v>
      </c>
      <c r="KW17" s="2">
        <v>190.2</v>
      </c>
      <c r="KX17" s="2">
        <v>196.5</v>
      </c>
      <c r="KY17" s="2">
        <v>192.1</v>
      </c>
      <c r="KZ17" s="2">
        <v>190.5</v>
      </c>
      <c r="LA17" s="2">
        <v>196.5</v>
      </c>
      <c r="LB17" s="2">
        <v>192.1</v>
      </c>
      <c r="LC17" s="2">
        <v>191.2</v>
      </c>
      <c r="LD17" s="2">
        <v>197.0</v>
      </c>
      <c r="LE17" s="2">
        <v>192.7</v>
      </c>
      <c r="LF17" s="2">
        <v>191.4</v>
      </c>
      <c r="LG17" s="2">
        <v>197.0</v>
      </c>
      <c r="LH17" s="2">
        <v>192.9</v>
      </c>
      <c r="LI17" s="2">
        <v>190.8</v>
      </c>
      <c r="LJ17" s="2">
        <v>196.8</v>
      </c>
      <c r="LK17" s="2">
        <v>192.4</v>
      </c>
      <c r="LL17" s="2">
        <v>190.7</v>
      </c>
      <c r="LM17" s="2">
        <v>196.4</v>
      </c>
      <c r="LN17" s="2">
        <v>192.2</v>
      </c>
      <c r="LO17" s="2">
        <v>191.5</v>
      </c>
      <c r="LP17" s="2">
        <v>196.5</v>
      </c>
      <c r="LQ17" s="2">
        <v>192.8</v>
      </c>
      <c r="LR17" s="2">
        <v>192.3</v>
      </c>
      <c r="LS17" s="2">
        <v>197.5</v>
      </c>
      <c r="LT17" s="2">
        <v>193.7</v>
      </c>
      <c r="LU17" s="2">
        <v>192.8</v>
      </c>
      <c r="LV17" s="2">
        <v>197.1</v>
      </c>
      <c r="LW17" s="2">
        <v>193.9</v>
      </c>
      <c r="LX17" s="2">
        <v>192.9</v>
      </c>
      <c r="LY17" s="2">
        <v>197.5</v>
      </c>
      <c r="LZ17" s="2">
        <v>194.1</v>
      </c>
      <c r="MA17" s="2">
        <v>192.9</v>
      </c>
      <c r="MB17" s="2">
        <v>198.3</v>
      </c>
      <c r="MC17" s="2">
        <v>194.3</v>
      </c>
      <c r="MD17" s="2">
        <v>193.2</v>
      </c>
      <c r="ME17" s="2">
        <v>198.6</v>
      </c>
      <c r="MF17" s="2">
        <v>194.6</v>
      </c>
      <c r="MG17" s="2">
        <v>193.7</v>
      </c>
      <c r="MH17" s="2">
        <v>198.7</v>
      </c>
      <c r="MI17" s="2">
        <v>195.0</v>
      </c>
      <c r="MJ17" s="2">
        <v>194.5</v>
      </c>
      <c r="MK17" s="2">
        <v>199.7</v>
      </c>
      <c r="ML17" s="2">
        <v>195.9</v>
      </c>
      <c r="MM17" s="2">
        <v>194.9</v>
      </c>
      <c r="MN17" s="2">
        <v>200.1</v>
      </c>
      <c r="MO17" s="2">
        <v>196.3</v>
      </c>
      <c r="MP17" s="2">
        <v>195.5</v>
      </c>
      <c r="MQ17" s="2">
        <v>200.6</v>
      </c>
      <c r="MR17" s="2">
        <v>196.9</v>
      </c>
      <c r="MS17" s="2">
        <v>195.9</v>
      </c>
      <c r="MT17" s="2">
        <v>201.1</v>
      </c>
      <c r="MU17" s="2">
        <v>197.3</v>
      </c>
      <c r="MV17" s="2">
        <v>196.9</v>
      </c>
      <c r="MW17" s="2">
        <v>201.6</v>
      </c>
      <c r="MX17" s="2">
        <v>198.2</v>
      </c>
      <c r="MY17" s="2">
        <v>198.3</v>
      </c>
      <c r="MZ17" s="2">
        <v>202.7</v>
      </c>
      <c r="NA17" s="2">
        <v>199.5</v>
      </c>
      <c r="NB17" s="2">
        <v>198.4</v>
      </c>
      <c r="NC17" s="2">
        <v>202.7</v>
      </c>
      <c r="ND17" s="2">
        <v>199.5</v>
      </c>
      <c r="NE17" s="2">
        <v>199.5</v>
      </c>
      <c r="NF17" s="2">
        <v>203.5</v>
      </c>
      <c r="NG17" s="2">
        <v>200.6</v>
      </c>
      <c r="NH17" s="2">
        <v>199.9</v>
      </c>
      <c r="NI17" s="2">
        <v>204.2</v>
      </c>
      <c r="NJ17" s="2">
        <v>201.0</v>
      </c>
    </row>
    <row r="18">
      <c r="A18" s="2" t="s">
        <v>17</v>
      </c>
      <c r="B18" s="2" t="str">
        <f>VLOOKUP(A18, NOTES!C19:D44, 2,0)</f>
        <v>Clothing and Housing</v>
      </c>
      <c r="C18" s="2">
        <v>106.5</v>
      </c>
      <c r="E18" s="2">
        <v>106.3</v>
      </c>
      <c r="F18" s="2">
        <v>107.1</v>
      </c>
      <c r="G18" s="2">
        <v>106.6</v>
      </c>
      <c r="H18" s="2">
        <v>106.9</v>
      </c>
      <c r="I18" s="2">
        <v>107.6</v>
      </c>
      <c r="J18" s="2">
        <v>107.2</v>
      </c>
      <c r="K18" s="2">
        <v>107.4</v>
      </c>
      <c r="L18" s="2">
        <v>108.1</v>
      </c>
      <c r="M18" s="2">
        <v>107.9</v>
      </c>
      <c r="N18" s="2">
        <v>108.0</v>
      </c>
      <c r="O18" s="2">
        <v>108.8</v>
      </c>
      <c r="P18" s="2">
        <v>108.5</v>
      </c>
      <c r="Q18" s="2">
        <v>108.7</v>
      </c>
      <c r="R18" s="2">
        <v>109.7</v>
      </c>
      <c r="S18" s="2">
        <v>109.2</v>
      </c>
      <c r="T18" s="2">
        <v>109.5</v>
      </c>
      <c r="U18" s="2">
        <v>110.5</v>
      </c>
      <c r="V18" s="2">
        <v>109.8</v>
      </c>
      <c r="W18" s="2">
        <v>110.2</v>
      </c>
      <c r="X18" s="2">
        <v>111.3</v>
      </c>
      <c r="Y18" s="2">
        <v>110.6</v>
      </c>
      <c r="Z18" s="2">
        <v>111.0</v>
      </c>
      <c r="AA18" s="2">
        <v>112.7</v>
      </c>
      <c r="AB18" s="2">
        <v>111.4</v>
      </c>
      <c r="AC18" s="2">
        <v>112.2</v>
      </c>
      <c r="AD18" s="2">
        <v>113.6</v>
      </c>
      <c r="AE18" s="2">
        <v>112.5</v>
      </c>
      <c r="AF18" s="2">
        <v>113.2</v>
      </c>
      <c r="AG18" s="2">
        <v>114.6</v>
      </c>
      <c r="AH18" s="2">
        <v>113.5</v>
      </c>
      <c r="AI18" s="2">
        <v>114.2</v>
      </c>
      <c r="AJ18" s="2">
        <v>115.8</v>
      </c>
      <c r="AK18" s="2">
        <v>114.2</v>
      </c>
      <c r="AL18" s="2">
        <v>115.2</v>
      </c>
      <c r="AM18" s="2">
        <v>116.5</v>
      </c>
      <c r="AN18" s="2">
        <v>114.8</v>
      </c>
      <c r="AO18" s="2">
        <v>115.8</v>
      </c>
      <c r="AP18" s="2">
        <v>117.1</v>
      </c>
      <c r="AQ18" s="2">
        <v>115.3</v>
      </c>
      <c r="AR18" s="2">
        <v>116.4</v>
      </c>
      <c r="AS18" s="2">
        <v>117.5</v>
      </c>
      <c r="AT18" s="2">
        <v>115.8</v>
      </c>
      <c r="AU18" s="2">
        <v>116.8</v>
      </c>
      <c r="AV18" s="2">
        <v>118.1</v>
      </c>
      <c r="AW18" s="2">
        <v>116.3</v>
      </c>
      <c r="AX18" s="2">
        <v>117.4</v>
      </c>
      <c r="AY18" s="2">
        <v>118.7</v>
      </c>
      <c r="AZ18" s="2">
        <v>116.8</v>
      </c>
      <c r="BA18" s="2">
        <v>118.0</v>
      </c>
      <c r="BB18" s="2">
        <v>119.7</v>
      </c>
      <c r="BC18" s="2">
        <v>117.4</v>
      </c>
      <c r="BD18" s="2">
        <v>118.8</v>
      </c>
      <c r="BE18" s="2">
        <v>120.7</v>
      </c>
      <c r="BF18" s="2">
        <v>118.0</v>
      </c>
      <c r="BG18" s="2">
        <v>119.6</v>
      </c>
      <c r="BH18" s="2">
        <v>120.9</v>
      </c>
      <c r="BI18" s="2">
        <v>118.6</v>
      </c>
      <c r="BJ18" s="2">
        <v>120.0</v>
      </c>
      <c r="BK18" s="2">
        <v>121.7</v>
      </c>
      <c r="BL18" s="2">
        <v>119.2</v>
      </c>
      <c r="BM18" s="2">
        <v>120.7</v>
      </c>
      <c r="BN18" s="2">
        <v>122.7</v>
      </c>
      <c r="BO18" s="2">
        <v>119.6</v>
      </c>
      <c r="BP18" s="2">
        <v>121.5</v>
      </c>
      <c r="BQ18" s="2">
        <v>123.3</v>
      </c>
      <c r="BR18" s="2">
        <v>120.3</v>
      </c>
      <c r="BS18" s="2">
        <v>122.1</v>
      </c>
      <c r="BT18" s="2">
        <v>123.8</v>
      </c>
      <c r="BU18" s="2">
        <v>120.7</v>
      </c>
      <c r="BV18" s="2">
        <v>122.6</v>
      </c>
      <c r="BW18" s="2">
        <v>124.4</v>
      </c>
      <c r="BX18" s="2">
        <v>121.0</v>
      </c>
      <c r="BY18" s="2">
        <v>123.1</v>
      </c>
      <c r="BZ18" s="2">
        <v>125.4</v>
      </c>
      <c r="CA18" s="2">
        <v>121.3</v>
      </c>
      <c r="CB18" s="2">
        <v>123.8</v>
      </c>
      <c r="CC18" s="2">
        <v>126.0</v>
      </c>
      <c r="CD18" s="2">
        <v>121.7</v>
      </c>
      <c r="CE18" s="2">
        <v>124.3</v>
      </c>
      <c r="CF18" s="2">
        <v>126.4</v>
      </c>
      <c r="CG18" s="2">
        <v>122.1</v>
      </c>
      <c r="CH18" s="2">
        <v>124.7</v>
      </c>
      <c r="CI18" s="2">
        <v>127.3</v>
      </c>
      <c r="CJ18" s="2">
        <v>122.4</v>
      </c>
      <c r="CK18" s="2">
        <v>125.4</v>
      </c>
      <c r="CL18" s="2">
        <v>128.4</v>
      </c>
      <c r="CM18" s="2">
        <v>123.2</v>
      </c>
      <c r="CN18" s="2">
        <v>126.4</v>
      </c>
      <c r="CO18" s="2">
        <v>128.8</v>
      </c>
      <c r="CP18" s="2">
        <v>123.5</v>
      </c>
      <c r="CQ18" s="2">
        <v>126.7</v>
      </c>
      <c r="CR18" s="2">
        <v>129.5</v>
      </c>
      <c r="CS18" s="2">
        <v>123.7</v>
      </c>
      <c r="CT18" s="2">
        <v>127.2</v>
      </c>
      <c r="CU18" s="2">
        <v>130.4</v>
      </c>
      <c r="CV18" s="2">
        <v>124.0</v>
      </c>
      <c r="CW18" s="2">
        <v>127.9</v>
      </c>
      <c r="CX18" s="2">
        <v>131.1</v>
      </c>
      <c r="CY18" s="2">
        <v>124.4</v>
      </c>
      <c r="CZ18" s="2">
        <v>128.5</v>
      </c>
      <c r="DA18" s="2">
        <v>132.1</v>
      </c>
      <c r="DB18" s="2">
        <v>125.0</v>
      </c>
      <c r="DC18" s="2">
        <v>129.3</v>
      </c>
      <c r="DD18" s="2">
        <v>132.5</v>
      </c>
      <c r="DE18" s="2">
        <v>125.4</v>
      </c>
      <c r="DF18" s="2">
        <v>129.7</v>
      </c>
      <c r="DG18" s="2">
        <v>133.2</v>
      </c>
      <c r="DH18" s="2">
        <v>125.8</v>
      </c>
      <c r="DI18" s="2">
        <v>130.3</v>
      </c>
      <c r="DJ18" s="2">
        <v>133.9</v>
      </c>
      <c r="DK18" s="2">
        <v>126.2</v>
      </c>
      <c r="DL18" s="2">
        <v>130.9</v>
      </c>
      <c r="DM18" s="2">
        <v>134.4</v>
      </c>
      <c r="DN18" s="2">
        <v>126.4</v>
      </c>
      <c r="DO18" s="2">
        <v>131.3</v>
      </c>
      <c r="DP18" s="2">
        <v>135.0</v>
      </c>
      <c r="DQ18" s="2">
        <v>126.8</v>
      </c>
      <c r="DR18" s="2">
        <v>131.8</v>
      </c>
      <c r="DS18" s="2">
        <v>135.4</v>
      </c>
      <c r="DT18" s="2">
        <v>127.2</v>
      </c>
      <c r="DU18" s="2">
        <v>132.2</v>
      </c>
      <c r="DV18" s="2">
        <v>136.3</v>
      </c>
      <c r="DW18" s="2">
        <v>127.6</v>
      </c>
      <c r="DX18" s="2">
        <v>132.9</v>
      </c>
      <c r="DY18" s="2">
        <v>137.2</v>
      </c>
      <c r="DZ18" s="2">
        <v>127.9</v>
      </c>
      <c r="EA18" s="2">
        <v>133.5</v>
      </c>
      <c r="EB18" s="2">
        <v>137.8</v>
      </c>
      <c r="EC18" s="2">
        <v>128.3</v>
      </c>
      <c r="ED18" s="2">
        <v>134.1</v>
      </c>
      <c r="EE18" s="2">
        <v>138.5</v>
      </c>
      <c r="EF18" s="2">
        <v>128.7</v>
      </c>
      <c r="EG18" s="2">
        <v>134.6</v>
      </c>
      <c r="EH18" s="2">
        <v>139.6</v>
      </c>
      <c r="EI18" s="2">
        <v>129.1</v>
      </c>
      <c r="EJ18" s="2">
        <v>135.5</v>
      </c>
      <c r="EK18" s="2">
        <v>139.9</v>
      </c>
      <c r="EL18" s="2">
        <v>129.6</v>
      </c>
      <c r="EM18" s="2">
        <v>135.8</v>
      </c>
      <c r="EN18" s="2">
        <v>140.4</v>
      </c>
      <c r="EO18" s="2">
        <v>130.0</v>
      </c>
      <c r="EP18" s="2">
        <v>136.3</v>
      </c>
      <c r="EQ18" s="2">
        <v>140.7</v>
      </c>
      <c r="ER18" s="2">
        <v>130.2</v>
      </c>
      <c r="ES18" s="2">
        <v>136.6</v>
      </c>
      <c r="ET18" s="2">
        <v>140.9</v>
      </c>
      <c r="EU18" s="2">
        <v>130.5</v>
      </c>
      <c r="EV18" s="2">
        <v>136.8</v>
      </c>
      <c r="EW18" s="2">
        <v>141.6</v>
      </c>
      <c r="EX18" s="2">
        <v>130.8</v>
      </c>
      <c r="EY18" s="2">
        <v>137.3</v>
      </c>
      <c r="EZ18" s="2">
        <v>142.4</v>
      </c>
      <c r="FA18" s="2">
        <v>131.2</v>
      </c>
      <c r="FB18" s="2">
        <v>138.0</v>
      </c>
      <c r="FC18" s="2">
        <v>142.5</v>
      </c>
      <c r="FD18" s="2">
        <v>131.5</v>
      </c>
      <c r="FE18" s="2">
        <v>138.2</v>
      </c>
      <c r="FF18" s="2">
        <v>143.1</v>
      </c>
      <c r="FG18" s="2">
        <v>131.5</v>
      </c>
      <c r="FH18" s="2">
        <v>138.5</v>
      </c>
      <c r="FI18" s="2">
        <v>144.3</v>
      </c>
      <c r="FJ18" s="2">
        <v>131.6</v>
      </c>
      <c r="FK18" s="2">
        <v>139.3</v>
      </c>
      <c r="FL18" s="2">
        <v>145.3</v>
      </c>
      <c r="FM18" s="2">
        <v>132.7</v>
      </c>
      <c r="FN18" s="2">
        <v>140.3</v>
      </c>
      <c r="FO18" s="2">
        <v>146.1</v>
      </c>
      <c r="FP18" s="2">
        <v>133.3</v>
      </c>
      <c r="FQ18" s="2">
        <v>141.1</v>
      </c>
      <c r="FR18" s="2">
        <v>147.2</v>
      </c>
      <c r="FS18" s="2">
        <v>134.0</v>
      </c>
      <c r="FT18" s="2">
        <v>142.0</v>
      </c>
      <c r="FU18" s="2">
        <v>148.2</v>
      </c>
      <c r="FV18" s="2">
        <v>135.0</v>
      </c>
      <c r="FW18" s="2">
        <v>143.0</v>
      </c>
      <c r="FX18" s="2">
        <v>148.0</v>
      </c>
      <c r="FY18" s="2">
        <v>135.6</v>
      </c>
      <c r="FZ18" s="2">
        <v>143.1</v>
      </c>
      <c r="GA18" s="2">
        <v>148.3</v>
      </c>
      <c r="GB18" s="2">
        <v>136.0</v>
      </c>
      <c r="GC18" s="2">
        <v>143.5</v>
      </c>
      <c r="GD18" s="2">
        <v>148.7</v>
      </c>
      <c r="GE18" s="2">
        <v>136.3</v>
      </c>
      <c r="GF18" s="2">
        <v>143.8</v>
      </c>
      <c r="GG18" s="2">
        <v>149.2</v>
      </c>
      <c r="GH18" s="2">
        <v>136.7</v>
      </c>
      <c r="GI18" s="2">
        <v>144.3</v>
      </c>
      <c r="GJ18" s="2">
        <v>150.1</v>
      </c>
      <c r="GK18" s="2">
        <v>137.8</v>
      </c>
      <c r="GL18" s="2">
        <v>145.3</v>
      </c>
      <c r="GM18" s="2">
        <v>150.8</v>
      </c>
      <c r="GN18" s="2">
        <v>138.6</v>
      </c>
      <c r="GO18" s="2">
        <v>146.0</v>
      </c>
      <c r="GP18" s="2">
        <v>151.3</v>
      </c>
      <c r="GQ18" s="2">
        <v>138.9</v>
      </c>
      <c r="GR18" s="2">
        <v>146.4</v>
      </c>
      <c r="GS18" s="2">
        <v>151.5</v>
      </c>
      <c r="GT18" s="2">
        <v>139.6</v>
      </c>
      <c r="GU18" s="2">
        <v>146.8</v>
      </c>
      <c r="GV18" s="2">
        <v>152.1</v>
      </c>
      <c r="GW18" s="2">
        <v>140.0</v>
      </c>
      <c r="GX18" s="2">
        <v>147.3</v>
      </c>
      <c r="GY18" s="2">
        <v>152.1</v>
      </c>
      <c r="GZ18" s="2">
        <v>140.8</v>
      </c>
      <c r="HA18" s="2">
        <v>147.7</v>
      </c>
      <c r="HB18" s="2">
        <v>150.7</v>
      </c>
      <c r="HC18" s="2">
        <v>141.5</v>
      </c>
      <c r="HD18" s="2">
        <v>148.0</v>
      </c>
      <c r="HE18" s="2">
        <v>151.7</v>
      </c>
      <c r="HF18" s="2">
        <v>142.4</v>
      </c>
      <c r="HG18" s="2">
        <v>148.0</v>
      </c>
      <c r="HH18" s="2">
        <v>151.6</v>
      </c>
      <c r="HI18" s="2">
        <v>142.7</v>
      </c>
      <c r="HJ18" s="2">
        <v>148.1</v>
      </c>
      <c r="HK18" s="2">
        <v>150.6</v>
      </c>
      <c r="HL18" s="2">
        <v>143.0</v>
      </c>
      <c r="HM18" s="2">
        <v>147.6</v>
      </c>
      <c r="HN18" s="2">
        <v>150.5</v>
      </c>
      <c r="HO18" s="2">
        <v>143.3</v>
      </c>
      <c r="HP18" s="2">
        <v>147.7</v>
      </c>
      <c r="HQ18" s="2">
        <v>150.8</v>
      </c>
      <c r="HR18" s="2">
        <v>143.5</v>
      </c>
      <c r="HS18" s="2">
        <v>147.9</v>
      </c>
      <c r="HT18" s="2">
        <v>151.3</v>
      </c>
      <c r="HU18" s="2">
        <v>144.0</v>
      </c>
      <c r="HV18" s="2">
        <v>148.4</v>
      </c>
      <c r="HW18" s="2">
        <v>151.4</v>
      </c>
      <c r="HX18" s="2">
        <v>144.3</v>
      </c>
      <c r="HY18" s="2">
        <v>148.6</v>
      </c>
      <c r="HZ18" s="2">
        <v>151.6</v>
      </c>
      <c r="IA18" s="2">
        <v>144.7</v>
      </c>
      <c r="IB18" s="2">
        <v>148.9</v>
      </c>
      <c r="IC18" s="2">
        <v>151.8</v>
      </c>
      <c r="ID18" s="2">
        <v>145.0</v>
      </c>
      <c r="IE18" s="2">
        <v>149.1</v>
      </c>
      <c r="IF18" s="2">
        <v>151.7</v>
      </c>
      <c r="IG18" s="2">
        <v>145.3</v>
      </c>
      <c r="IH18" s="2">
        <v>149.2</v>
      </c>
      <c r="II18" s="2">
        <v>151.7</v>
      </c>
      <c r="IJ18" s="2">
        <v>145.9</v>
      </c>
      <c r="IK18" s="2">
        <v>149.4</v>
      </c>
      <c r="IL18" s="2">
        <v>152.3</v>
      </c>
      <c r="IM18" s="2">
        <v>146.3</v>
      </c>
      <c r="IN18" s="2">
        <v>149.9</v>
      </c>
      <c r="IO18" s="2">
        <v>152.6</v>
      </c>
      <c r="IP18" s="2">
        <v>146.8</v>
      </c>
      <c r="IQ18" s="2">
        <v>150.3</v>
      </c>
      <c r="IR18" s="2">
        <v>152.8</v>
      </c>
      <c r="IS18" s="2">
        <v>147.0</v>
      </c>
      <c r="IT18" s="2">
        <v>150.5</v>
      </c>
      <c r="IU18" s="2">
        <v>153.0</v>
      </c>
      <c r="IV18" s="2">
        <v>147.3</v>
      </c>
      <c r="IW18" s="2">
        <v>150.8</v>
      </c>
      <c r="IX18" s="2">
        <v>153.4</v>
      </c>
      <c r="IY18" s="2">
        <v>147.7</v>
      </c>
      <c r="IZ18" s="2">
        <v>151.2</v>
      </c>
      <c r="JA18" s="2" t="s">
        <v>32</v>
      </c>
      <c r="JB18" s="2" t="s">
        <v>32</v>
      </c>
      <c r="JC18" s="2" t="s">
        <v>32</v>
      </c>
      <c r="JD18" s="2" t="s">
        <v>32</v>
      </c>
      <c r="JE18" s="2" t="s">
        <v>32</v>
      </c>
      <c r="JF18" s="2" t="s">
        <v>32</v>
      </c>
      <c r="JG18" s="2">
        <v>154.7</v>
      </c>
      <c r="JH18" s="2">
        <v>149.1</v>
      </c>
      <c r="JI18" s="2">
        <v>152.5</v>
      </c>
      <c r="JJ18" s="2">
        <v>154.7</v>
      </c>
      <c r="JK18" s="2">
        <v>149.1</v>
      </c>
      <c r="JL18" s="2">
        <v>152.5</v>
      </c>
      <c r="JM18" s="2">
        <v>155.1</v>
      </c>
      <c r="JN18" s="2">
        <v>150.0</v>
      </c>
      <c r="JO18" s="2">
        <v>153.1</v>
      </c>
      <c r="JP18" s="2">
        <v>155.4</v>
      </c>
      <c r="JQ18" s="2">
        <v>150.2</v>
      </c>
      <c r="JR18" s="2">
        <v>153.4</v>
      </c>
      <c r="JS18" s="2">
        <v>155.7</v>
      </c>
      <c r="JT18" s="2">
        <v>150.5</v>
      </c>
      <c r="JU18" s="2">
        <v>153.7</v>
      </c>
      <c r="JV18" s="2">
        <v>156.3</v>
      </c>
      <c r="JW18" s="2">
        <v>151.1</v>
      </c>
      <c r="JX18" s="2">
        <v>154.3</v>
      </c>
      <c r="JY18" s="2">
        <v>157.0</v>
      </c>
      <c r="JZ18" s="2">
        <v>151.9</v>
      </c>
      <c r="KA18" s="2">
        <v>155.0</v>
      </c>
      <c r="KB18" s="2">
        <v>157.5</v>
      </c>
      <c r="KC18" s="2">
        <v>152.5</v>
      </c>
      <c r="KD18" s="2">
        <v>155.5</v>
      </c>
      <c r="KE18" s="2">
        <v>159.1</v>
      </c>
      <c r="KF18" s="2">
        <v>154.2</v>
      </c>
      <c r="KG18" s="2">
        <v>157.2</v>
      </c>
      <c r="KH18" s="2">
        <v>159.6</v>
      </c>
      <c r="KI18" s="2">
        <v>155.1</v>
      </c>
      <c r="KJ18" s="2">
        <v>157.8</v>
      </c>
      <c r="KK18" s="2">
        <v>160.7</v>
      </c>
      <c r="KL18" s="2">
        <v>155.9</v>
      </c>
      <c r="KM18" s="2">
        <v>158.8</v>
      </c>
      <c r="KN18" s="2">
        <v>165.3</v>
      </c>
      <c r="KO18" s="2">
        <v>156.5</v>
      </c>
      <c r="KP18" s="2">
        <v>161.8</v>
      </c>
      <c r="KQ18" s="2">
        <v>165.3</v>
      </c>
      <c r="KR18" s="2">
        <v>157.3</v>
      </c>
      <c r="KS18" s="2">
        <v>162.2</v>
      </c>
      <c r="KT18" s="2">
        <v>166.0</v>
      </c>
      <c r="KU18" s="2">
        <v>157.9</v>
      </c>
      <c r="KV18" s="2">
        <v>162.8</v>
      </c>
      <c r="KW18" s="2">
        <v>167.0</v>
      </c>
      <c r="KX18" s="2">
        <v>159.8</v>
      </c>
      <c r="KY18" s="2">
        <v>164.5</v>
      </c>
      <c r="KZ18" s="2">
        <v>167.7</v>
      </c>
      <c r="LA18" s="2">
        <v>159.8</v>
      </c>
      <c r="LB18" s="2">
        <v>164.6</v>
      </c>
      <c r="LC18" s="2">
        <v>168.9</v>
      </c>
      <c r="LD18" s="2">
        <v>160.8</v>
      </c>
      <c r="LE18" s="2">
        <v>165.7</v>
      </c>
      <c r="LF18" s="2">
        <v>170.4</v>
      </c>
      <c r="LG18" s="2">
        <v>162.3</v>
      </c>
      <c r="LH18" s="2">
        <v>167.2</v>
      </c>
      <c r="LI18" s="2">
        <v>171.8</v>
      </c>
      <c r="LJ18" s="2">
        <v>163.3</v>
      </c>
      <c r="LK18" s="2">
        <v>168.5</v>
      </c>
      <c r="LL18" s="2">
        <v>173.2</v>
      </c>
      <c r="LM18" s="2">
        <v>164.7</v>
      </c>
      <c r="LN18" s="2">
        <v>169.9</v>
      </c>
      <c r="LO18" s="2">
        <v>174.1</v>
      </c>
      <c r="LP18" s="2">
        <v>165.7</v>
      </c>
      <c r="LQ18" s="2">
        <v>170.8</v>
      </c>
      <c r="LR18" s="2">
        <v>175.4</v>
      </c>
      <c r="LS18" s="2">
        <v>167.1</v>
      </c>
      <c r="LT18" s="2">
        <v>172.1</v>
      </c>
      <c r="LU18" s="2">
        <v>177.5</v>
      </c>
      <c r="LV18" s="2">
        <v>168.4</v>
      </c>
      <c r="LW18" s="2">
        <v>173.9</v>
      </c>
      <c r="LX18" s="2">
        <v>179.3</v>
      </c>
      <c r="LY18" s="2">
        <v>170.0</v>
      </c>
      <c r="LZ18" s="2">
        <v>175.6</v>
      </c>
      <c r="MA18" s="2">
        <v>180.7</v>
      </c>
      <c r="MB18" s="2">
        <v>171.6</v>
      </c>
      <c r="MC18" s="2">
        <v>177.1</v>
      </c>
      <c r="MD18" s="2">
        <v>182.0</v>
      </c>
      <c r="ME18" s="2">
        <v>172.7</v>
      </c>
      <c r="MF18" s="2">
        <v>178.3</v>
      </c>
      <c r="MG18" s="2">
        <v>183.2</v>
      </c>
      <c r="MH18" s="2">
        <v>173.7</v>
      </c>
      <c r="MI18" s="2">
        <v>179.5</v>
      </c>
      <c r="MJ18" s="2">
        <v>184.7</v>
      </c>
      <c r="MK18" s="2">
        <v>175.0</v>
      </c>
      <c r="ML18" s="2">
        <v>180.9</v>
      </c>
      <c r="MM18" s="2">
        <v>186.1</v>
      </c>
      <c r="MN18" s="2">
        <v>175.5</v>
      </c>
      <c r="MO18" s="2">
        <v>181.9</v>
      </c>
      <c r="MP18" s="2">
        <v>187.2</v>
      </c>
      <c r="MQ18" s="2">
        <v>176.7</v>
      </c>
      <c r="MR18" s="2">
        <v>183.1</v>
      </c>
      <c r="MS18" s="2">
        <v>188.1</v>
      </c>
      <c r="MT18" s="2">
        <v>177.7</v>
      </c>
      <c r="MU18" s="2">
        <v>184.0</v>
      </c>
      <c r="MV18" s="2">
        <v>189.0</v>
      </c>
      <c r="MW18" s="2">
        <v>178.7</v>
      </c>
      <c r="MX18" s="2">
        <v>184.9</v>
      </c>
      <c r="MY18" s="2">
        <v>190.0</v>
      </c>
      <c r="MZ18" s="2">
        <v>180.3</v>
      </c>
      <c r="NA18" s="2">
        <v>186.2</v>
      </c>
      <c r="NB18" s="2">
        <v>190.0</v>
      </c>
      <c r="NC18" s="2">
        <v>180.2</v>
      </c>
      <c r="ND18" s="2">
        <v>186.1</v>
      </c>
      <c r="NE18" s="2">
        <v>190.7</v>
      </c>
      <c r="NF18" s="2">
        <v>181.0</v>
      </c>
      <c r="NG18" s="2">
        <v>186.9</v>
      </c>
      <c r="NH18" s="2">
        <v>191.2</v>
      </c>
      <c r="NI18" s="2">
        <v>181.3</v>
      </c>
      <c r="NJ18" s="2">
        <v>187.3</v>
      </c>
    </row>
    <row r="19">
      <c r="A19" s="2" t="s">
        <v>18</v>
      </c>
      <c r="B19" s="2" t="str">
        <f>VLOOKUP(A19, NOTES!C20:D45, 2,0)</f>
        <v>Clothing and Housing</v>
      </c>
      <c r="C19" s="2">
        <v>105.8</v>
      </c>
      <c r="D19" s="2">
        <v>105.0</v>
      </c>
      <c r="E19" s="2">
        <v>105.5</v>
      </c>
      <c r="F19" s="2">
        <v>106.3</v>
      </c>
      <c r="G19" s="2">
        <v>105.5</v>
      </c>
      <c r="H19" s="2">
        <v>106.0</v>
      </c>
      <c r="I19" s="2">
        <v>106.8</v>
      </c>
      <c r="J19" s="2">
        <v>106.0</v>
      </c>
      <c r="K19" s="2">
        <v>106.5</v>
      </c>
      <c r="L19" s="2">
        <v>107.4</v>
      </c>
      <c r="M19" s="2">
        <v>106.4</v>
      </c>
      <c r="N19" s="2">
        <v>107.0</v>
      </c>
      <c r="O19" s="2">
        <v>107.9</v>
      </c>
      <c r="P19" s="2">
        <v>106.7</v>
      </c>
      <c r="Q19" s="2">
        <v>107.4</v>
      </c>
      <c r="R19" s="2">
        <v>108.8</v>
      </c>
      <c r="S19" s="2">
        <v>107.2</v>
      </c>
      <c r="T19" s="2">
        <v>108.1</v>
      </c>
      <c r="U19" s="2">
        <v>109.5</v>
      </c>
      <c r="V19" s="2">
        <v>107.8</v>
      </c>
      <c r="W19" s="2">
        <v>108.8</v>
      </c>
      <c r="X19" s="2">
        <v>110.2</v>
      </c>
      <c r="Y19" s="2">
        <v>108.3</v>
      </c>
      <c r="Z19" s="2">
        <v>109.4</v>
      </c>
      <c r="AA19" s="2">
        <v>111.4</v>
      </c>
      <c r="AB19" s="2">
        <v>109.0</v>
      </c>
      <c r="AC19" s="2">
        <v>110.4</v>
      </c>
      <c r="AD19" s="2">
        <v>112.3</v>
      </c>
      <c r="AE19" s="2">
        <v>109.7</v>
      </c>
      <c r="AF19" s="2">
        <v>111.2</v>
      </c>
      <c r="AG19" s="2">
        <v>113.1</v>
      </c>
      <c r="AH19" s="2">
        <v>110.3</v>
      </c>
      <c r="AI19" s="2">
        <v>111.9</v>
      </c>
      <c r="AJ19" s="2">
        <v>114.0</v>
      </c>
      <c r="AK19" s="2">
        <v>110.9</v>
      </c>
      <c r="AL19" s="2">
        <v>112.7</v>
      </c>
      <c r="AM19" s="2">
        <v>114.5</v>
      </c>
      <c r="AN19" s="2">
        <v>111.3</v>
      </c>
      <c r="AO19" s="2">
        <v>113.2</v>
      </c>
      <c r="AP19" s="2">
        <v>114.5</v>
      </c>
      <c r="AQ19" s="2">
        <v>111.7</v>
      </c>
      <c r="AR19" s="2">
        <v>113.3</v>
      </c>
      <c r="AS19" s="2">
        <v>114.9</v>
      </c>
      <c r="AT19" s="2">
        <v>112.1</v>
      </c>
      <c r="AU19" s="2">
        <v>113.7</v>
      </c>
      <c r="AV19" s="2">
        <v>116.1</v>
      </c>
      <c r="AW19" s="2">
        <v>112.5</v>
      </c>
      <c r="AX19" s="2">
        <v>114.6</v>
      </c>
      <c r="AY19" s="2">
        <v>116.8</v>
      </c>
      <c r="AZ19" s="2">
        <v>112.9</v>
      </c>
      <c r="BA19" s="2">
        <v>115.2</v>
      </c>
      <c r="BB19" s="2">
        <v>117.3</v>
      </c>
      <c r="BC19" s="2">
        <v>113.2</v>
      </c>
      <c r="BD19" s="2">
        <v>115.6</v>
      </c>
      <c r="BE19" s="2">
        <v>118.3</v>
      </c>
      <c r="BF19" s="2">
        <v>113.6</v>
      </c>
      <c r="BG19" s="2">
        <v>116.3</v>
      </c>
      <c r="BH19" s="2">
        <v>118.8</v>
      </c>
      <c r="BI19" s="2">
        <v>114.1</v>
      </c>
      <c r="BJ19" s="2">
        <v>116.8</v>
      </c>
      <c r="BK19" s="2">
        <v>119.2</v>
      </c>
      <c r="BL19" s="2">
        <v>114.5</v>
      </c>
      <c r="BM19" s="2">
        <v>117.2</v>
      </c>
      <c r="BN19" s="2">
        <v>120.3</v>
      </c>
      <c r="BO19" s="2">
        <v>114.9</v>
      </c>
      <c r="BP19" s="2">
        <v>118.1</v>
      </c>
      <c r="BQ19" s="2">
        <v>120.5</v>
      </c>
      <c r="BR19" s="2">
        <v>115.4</v>
      </c>
      <c r="BS19" s="2">
        <v>118.4</v>
      </c>
      <c r="BT19" s="2">
        <v>120.6</v>
      </c>
      <c r="BU19" s="2">
        <v>115.8</v>
      </c>
      <c r="BV19" s="2">
        <v>118.6</v>
      </c>
      <c r="BW19" s="2">
        <v>121.6</v>
      </c>
      <c r="BX19" s="2">
        <v>116.1</v>
      </c>
      <c r="BY19" s="2">
        <v>119.3</v>
      </c>
      <c r="BZ19" s="2">
        <v>122.7</v>
      </c>
      <c r="CA19" s="2">
        <v>116.5</v>
      </c>
      <c r="CB19" s="2">
        <v>120.1</v>
      </c>
      <c r="CC19" s="2">
        <v>122.9</v>
      </c>
      <c r="CD19" s="2">
        <v>116.9</v>
      </c>
      <c r="CE19" s="2">
        <v>120.4</v>
      </c>
      <c r="CF19" s="2">
        <v>123.3</v>
      </c>
      <c r="CG19" s="2">
        <v>117.2</v>
      </c>
      <c r="CH19" s="2">
        <v>120.8</v>
      </c>
      <c r="CI19" s="2">
        <v>124.1</v>
      </c>
      <c r="CJ19" s="2">
        <v>117.4</v>
      </c>
      <c r="CK19" s="2">
        <v>121.3</v>
      </c>
      <c r="CL19" s="2">
        <v>125.1</v>
      </c>
      <c r="CM19" s="2">
        <v>117.6</v>
      </c>
      <c r="CN19" s="2">
        <v>122.0</v>
      </c>
      <c r="CO19" s="2">
        <v>125.5</v>
      </c>
      <c r="CP19" s="2">
        <v>117.9</v>
      </c>
      <c r="CQ19" s="2">
        <v>122.3</v>
      </c>
      <c r="CR19" s="2">
        <v>126.3</v>
      </c>
      <c r="CS19" s="2">
        <v>118.2</v>
      </c>
      <c r="CT19" s="2">
        <v>122.9</v>
      </c>
      <c r="CU19" s="2">
        <v>126.8</v>
      </c>
      <c r="CV19" s="2">
        <v>118.6</v>
      </c>
      <c r="CW19" s="2">
        <v>123.4</v>
      </c>
      <c r="CX19" s="2">
        <v>127.3</v>
      </c>
      <c r="CY19" s="2">
        <v>118.8</v>
      </c>
      <c r="CZ19" s="2">
        <v>123.8</v>
      </c>
      <c r="DA19" s="2">
        <v>128.2</v>
      </c>
      <c r="DB19" s="2">
        <v>119.3</v>
      </c>
      <c r="DC19" s="2">
        <v>124.5</v>
      </c>
      <c r="DD19" s="2">
        <v>128.5</v>
      </c>
      <c r="DE19" s="2">
        <v>119.5</v>
      </c>
      <c r="DF19" s="2">
        <v>124.8</v>
      </c>
      <c r="DG19" s="2">
        <v>128.9</v>
      </c>
      <c r="DH19" s="2">
        <v>119.8</v>
      </c>
      <c r="DI19" s="2">
        <v>125.1</v>
      </c>
      <c r="DJ19" s="2">
        <v>129.8</v>
      </c>
      <c r="DK19" s="2">
        <v>120.1</v>
      </c>
      <c r="DL19" s="2">
        <v>125.8</v>
      </c>
      <c r="DM19" s="2">
        <v>130.2</v>
      </c>
      <c r="DN19" s="2">
        <v>120.3</v>
      </c>
      <c r="DO19" s="2">
        <v>126.1</v>
      </c>
      <c r="DP19" s="2">
        <v>130.6</v>
      </c>
      <c r="DQ19" s="2">
        <v>120.5</v>
      </c>
      <c r="DR19" s="2">
        <v>126.4</v>
      </c>
      <c r="DS19" s="2">
        <v>131.1</v>
      </c>
      <c r="DT19" s="2">
        <v>120.7</v>
      </c>
      <c r="DU19" s="2">
        <v>126.8</v>
      </c>
      <c r="DV19" s="2">
        <v>131.6</v>
      </c>
      <c r="DW19" s="2">
        <v>121.1</v>
      </c>
      <c r="DX19" s="2">
        <v>127.2</v>
      </c>
      <c r="DY19" s="2">
        <v>132.2</v>
      </c>
      <c r="DZ19" s="2">
        <v>121.1</v>
      </c>
      <c r="EA19" s="2">
        <v>127.6</v>
      </c>
      <c r="EB19" s="2">
        <v>133.0</v>
      </c>
      <c r="EC19" s="2">
        <v>121.4</v>
      </c>
      <c r="ED19" s="2">
        <v>128.2</v>
      </c>
      <c r="EE19" s="2">
        <v>133.5</v>
      </c>
      <c r="EF19" s="2">
        <v>121.6</v>
      </c>
      <c r="EG19" s="2">
        <v>128.6</v>
      </c>
      <c r="EH19" s="2">
        <v>134.3</v>
      </c>
      <c r="EI19" s="2">
        <v>121.9</v>
      </c>
      <c r="EJ19" s="2">
        <v>129.1</v>
      </c>
      <c r="EK19" s="2">
        <v>134.5</v>
      </c>
      <c r="EL19" s="2">
        <v>122.1</v>
      </c>
      <c r="EM19" s="2">
        <v>129.3</v>
      </c>
      <c r="EN19" s="2">
        <v>135.2</v>
      </c>
      <c r="EO19" s="2">
        <v>122.2</v>
      </c>
      <c r="EP19" s="2">
        <v>129.8</v>
      </c>
      <c r="EQ19" s="2">
        <v>135.8</v>
      </c>
      <c r="ER19" s="2">
        <v>122.3</v>
      </c>
      <c r="ES19" s="2">
        <v>130.2</v>
      </c>
      <c r="ET19" s="2">
        <v>135.8</v>
      </c>
      <c r="EU19" s="2">
        <v>122.5</v>
      </c>
      <c r="EV19" s="2">
        <v>130.3</v>
      </c>
      <c r="EW19" s="2">
        <v>136.2</v>
      </c>
      <c r="EX19" s="2">
        <v>122.8</v>
      </c>
      <c r="EY19" s="2">
        <v>130.6</v>
      </c>
      <c r="EZ19" s="2">
        <v>136.8</v>
      </c>
      <c r="FA19" s="2">
        <v>123.0</v>
      </c>
      <c r="FB19" s="2">
        <v>131.1</v>
      </c>
      <c r="FC19" s="2">
        <v>137.3</v>
      </c>
      <c r="FD19" s="2">
        <v>123.2</v>
      </c>
      <c r="FE19" s="2">
        <v>131.4</v>
      </c>
      <c r="FF19" s="2">
        <v>137.7</v>
      </c>
      <c r="FG19" s="2">
        <v>123.2</v>
      </c>
      <c r="FH19" s="2">
        <v>131.7</v>
      </c>
      <c r="FI19" s="2">
        <v>138.1</v>
      </c>
      <c r="FJ19" s="2">
        <v>123.7</v>
      </c>
      <c r="FK19" s="2">
        <v>132.1</v>
      </c>
      <c r="FL19" s="2">
        <v>139.2</v>
      </c>
      <c r="FM19" s="2">
        <v>124.3</v>
      </c>
      <c r="FN19" s="2">
        <v>133.0</v>
      </c>
      <c r="FO19" s="2">
        <v>139.7</v>
      </c>
      <c r="FP19" s="2">
        <v>124.6</v>
      </c>
      <c r="FQ19" s="2">
        <v>133.4</v>
      </c>
      <c r="FR19" s="2">
        <v>140.6</v>
      </c>
      <c r="FS19" s="2">
        <v>124.9</v>
      </c>
      <c r="FT19" s="2">
        <v>134.1</v>
      </c>
      <c r="FU19" s="2">
        <v>141.5</v>
      </c>
      <c r="FV19" s="2">
        <v>125.4</v>
      </c>
      <c r="FW19" s="2">
        <v>134.8</v>
      </c>
      <c r="FX19" s="2">
        <v>141.9</v>
      </c>
      <c r="FY19" s="2">
        <v>125.6</v>
      </c>
      <c r="FZ19" s="2">
        <v>135.1</v>
      </c>
      <c r="GA19" s="2">
        <v>142.3</v>
      </c>
      <c r="GB19" s="2">
        <v>125.9</v>
      </c>
      <c r="GC19" s="2">
        <v>135.5</v>
      </c>
      <c r="GD19" s="2">
        <v>142.4</v>
      </c>
      <c r="GE19" s="2">
        <v>126.1</v>
      </c>
      <c r="GF19" s="2">
        <v>135.6</v>
      </c>
      <c r="GG19" s="2">
        <v>143.0</v>
      </c>
      <c r="GH19" s="2">
        <v>126.7</v>
      </c>
      <c r="GI19" s="2">
        <v>136.2</v>
      </c>
      <c r="GJ19" s="2">
        <v>143.3</v>
      </c>
      <c r="GK19" s="2">
        <v>127.4</v>
      </c>
      <c r="GL19" s="2">
        <v>136.7</v>
      </c>
      <c r="GM19" s="2">
        <v>144.1</v>
      </c>
      <c r="GN19" s="2">
        <v>127.9</v>
      </c>
      <c r="GO19" s="2">
        <v>137.4</v>
      </c>
      <c r="GP19" s="2">
        <v>144.7</v>
      </c>
      <c r="GQ19" s="2">
        <v>128.7</v>
      </c>
      <c r="GR19" s="2">
        <v>138.1</v>
      </c>
      <c r="GS19" s="2">
        <v>145.1</v>
      </c>
      <c r="GT19" s="2">
        <v>128.9</v>
      </c>
      <c r="GU19" s="2">
        <v>138.4</v>
      </c>
      <c r="GV19" s="2">
        <v>145.8</v>
      </c>
      <c r="GW19" s="2">
        <v>129.0</v>
      </c>
      <c r="GX19" s="2">
        <v>138.8</v>
      </c>
      <c r="GY19" s="2">
        <v>146.1</v>
      </c>
      <c r="GZ19" s="2">
        <v>129.3</v>
      </c>
      <c r="HA19" s="2">
        <v>139.1</v>
      </c>
      <c r="HB19" s="2">
        <v>144.5</v>
      </c>
      <c r="HC19" s="2">
        <v>129.8</v>
      </c>
      <c r="HD19" s="2">
        <v>139.2</v>
      </c>
      <c r="HE19" s="2">
        <v>145.5</v>
      </c>
      <c r="HF19" s="2">
        <v>130.2</v>
      </c>
      <c r="HG19" s="2">
        <v>139.1</v>
      </c>
      <c r="HH19" s="2">
        <v>145.9</v>
      </c>
      <c r="HI19" s="2">
        <v>130.3</v>
      </c>
      <c r="HJ19" s="2">
        <v>139.4</v>
      </c>
      <c r="HK19" s="2">
        <v>145.1</v>
      </c>
      <c r="HL19" s="2">
        <v>130.4</v>
      </c>
      <c r="HM19" s="2">
        <v>139.0</v>
      </c>
      <c r="HN19" s="2">
        <v>146.1</v>
      </c>
      <c r="HO19" s="2">
        <v>130.8</v>
      </c>
      <c r="HP19" s="2">
        <v>139.7</v>
      </c>
      <c r="HQ19" s="2">
        <v>146.1</v>
      </c>
      <c r="HR19" s="2">
        <v>131.2</v>
      </c>
      <c r="HS19" s="2">
        <v>139.9</v>
      </c>
      <c r="HT19" s="2">
        <v>146.6</v>
      </c>
      <c r="HU19" s="2">
        <v>131.7</v>
      </c>
      <c r="HV19" s="2">
        <v>140.4</v>
      </c>
      <c r="HW19" s="2">
        <v>146.5</v>
      </c>
      <c r="HX19" s="2">
        <v>131.7</v>
      </c>
      <c r="HY19" s="2">
        <v>140.4</v>
      </c>
      <c r="HZ19" s="2">
        <v>146.6</v>
      </c>
      <c r="IA19" s="2">
        <v>131.9</v>
      </c>
      <c r="IB19" s="2">
        <v>140.5</v>
      </c>
      <c r="IC19" s="2">
        <v>146.6</v>
      </c>
      <c r="ID19" s="2">
        <v>132.2</v>
      </c>
      <c r="IE19" s="2">
        <v>140.6</v>
      </c>
      <c r="IF19" s="2">
        <v>146.6</v>
      </c>
      <c r="IG19" s="2">
        <v>132.2</v>
      </c>
      <c r="IH19" s="2">
        <v>140.6</v>
      </c>
      <c r="II19" s="2">
        <v>146.7</v>
      </c>
      <c r="IJ19" s="2">
        <v>132.4</v>
      </c>
      <c r="IK19" s="2">
        <v>140.8</v>
      </c>
      <c r="IL19" s="2">
        <v>147.0</v>
      </c>
      <c r="IM19" s="2">
        <v>132.6</v>
      </c>
      <c r="IN19" s="2">
        <v>141.0</v>
      </c>
      <c r="IO19" s="2">
        <v>147.3</v>
      </c>
      <c r="IP19" s="2">
        <v>132.8</v>
      </c>
      <c r="IQ19" s="2">
        <v>141.3</v>
      </c>
      <c r="IR19" s="2">
        <v>147.4</v>
      </c>
      <c r="IS19" s="2">
        <v>133.2</v>
      </c>
      <c r="IT19" s="2">
        <v>141.5</v>
      </c>
      <c r="IU19" s="2">
        <v>147.5</v>
      </c>
      <c r="IV19" s="2">
        <v>133.5</v>
      </c>
      <c r="IW19" s="2">
        <v>141.7</v>
      </c>
      <c r="IX19" s="2">
        <v>147.6</v>
      </c>
      <c r="IY19" s="2">
        <v>133.8</v>
      </c>
      <c r="IZ19" s="2">
        <v>141.9</v>
      </c>
      <c r="JA19" s="2" t="s">
        <v>32</v>
      </c>
      <c r="JB19" s="2" t="s">
        <v>32</v>
      </c>
      <c r="JC19" s="2" t="s">
        <v>32</v>
      </c>
      <c r="JD19" s="2" t="s">
        <v>32</v>
      </c>
      <c r="JE19" s="2" t="s">
        <v>32</v>
      </c>
      <c r="JF19" s="2" t="s">
        <v>32</v>
      </c>
      <c r="JG19" s="2">
        <v>150.0</v>
      </c>
      <c r="JH19" s="2">
        <v>136.6</v>
      </c>
      <c r="JI19" s="2">
        <v>144.4</v>
      </c>
      <c r="JJ19" s="2">
        <v>150.0</v>
      </c>
      <c r="JK19" s="2">
        <v>136.6</v>
      </c>
      <c r="JL19" s="2">
        <v>144.4</v>
      </c>
      <c r="JM19" s="2">
        <v>149.3</v>
      </c>
      <c r="JN19" s="2">
        <v>135.2</v>
      </c>
      <c r="JO19" s="2">
        <v>143.4</v>
      </c>
      <c r="JP19" s="2">
        <v>149.9</v>
      </c>
      <c r="JQ19" s="2">
        <v>136.3</v>
      </c>
      <c r="JR19" s="2">
        <v>144.3</v>
      </c>
      <c r="JS19" s="2">
        <v>150.6</v>
      </c>
      <c r="JT19" s="2">
        <v>136.1</v>
      </c>
      <c r="JU19" s="2">
        <v>144.6</v>
      </c>
      <c r="JV19" s="2">
        <v>151.0</v>
      </c>
      <c r="JW19" s="2">
        <v>136.4</v>
      </c>
      <c r="JX19" s="2">
        <v>144.9</v>
      </c>
      <c r="JY19" s="2">
        <v>151.6</v>
      </c>
      <c r="JZ19" s="2">
        <v>136.7</v>
      </c>
      <c r="KA19" s="2">
        <v>145.4</v>
      </c>
      <c r="KB19" s="2">
        <v>152.4</v>
      </c>
      <c r="KC19" s="2">
        <v>137.3</v>
      </c>
      <c r="KD19" s="2">
        <v>146.1</v>
      </c>
      <c r="KE19" s="2">
        <v>153.9</v>
      </c>
      <c r="KF19" s="2">
        <v>138.2</v>
      </c>
      <c r="KG19" s="2">
        <v>147.4</v>
      </c>
      <c r="KH19" s="2">
        <v>154.4</v>
      </c>
      <c r="KI19" s="2">
        <v>138.7</v>
      </c>
      <c r="KJ19" s="2">
        <v>147.9</v>
      </c>
      <c r="KK19" s="2">
        <v>155.1</v>
      </c>
      <c r="KL19" s="2">
        <v>139.3</v>
      </c>
      <c r="KM19" s="2">
        <v>148.5</v>
      </c>
      <c r="KN19" s="2">
        <v>160.6</v>
      </c>
      <c r="KO19" s="2">
        <v>140.2</v>
      </c>
      <c r="KP19" s="2">
        <v>152.1</v>
      </c>
      <c r="KQ19" s="2">
        <v>159.9</v>
      </c>
      <c r="KR19" s="2">
        <v>140.5</v>
      </c>
      <c r="KS19" s="2">
        <v>151.8</v>
      </c>
      <c r="KT19" s="2">
        <v>161.1</v>
      </c>
      <c r="KU19" s="2">
        <v>141.9</v>
      </c>
      <c r="KV19" s="2">
        <v>153.1</v>
      </c>
      <c r="KW19" s="2">
        <v>162.6</v>
      </c>
      <c r="KX19" s="2">
        <v>143.6</v>
      </c>
      <c r="KY19" s="2">
        <v>155.3</v>
      </c>
      <c r="KZ19" s="2">
        <v>163.6</v>
      </c>
      <c r="LA19" s="2">
        <v>143.6</v>
      </c>
      <c r="LB19" s="2">
        <v>155.3</v>
      </c>
      <c r="LC19" s="2">
        <v>164.8</v>
      </c>
      <c r="LD19" s="2">
        <v>144.4</v>
      </c>
      <c r="LE19" s="2">
        <v>156.3</v>
      </c>
      <c r="LF19" s="2">
        <v>166.0</v>
      </c>
      <c r="LG19" s="2">
        <v>145.3</v>
      </c>
      <c r="LH19" s="2">
        <v>157.4</v>
      </c>
      <c r="LI19" s="2">
        <v>167.3</v>
      </c>
      <c r="LJ19" s="2">
        <v>146.7</v>
      </c>
      <c r="LK19" s="2">
        <v>158.7</v>
      </c>
      <c r="LL19" s="2">
        <v>169.3</v>
      </c>
      <c r="LM19" s="2">
        <v>148.5</v>
      </c>
      <c r="LN19" s="2">
        <v>160.7</v>
      </c>
      <c r="LO19" s="2">
        <v>171.0</v>
      </c>
      <c r="LP19" s="2">
        <v>150.4</v>
      </c>
      <c r="LQ19" s="2">
        <v>162.4</v>
      </c>
      <c r="LR19" s="2">
        <v>173.2</v>
      </c>
      <c r="LS19" s="2">
        <v>152.6</v>
      </c>
      <c r="LT19" s="2">
        <v>164.6</v>
      </c>
      <c r="LU19" s="2">
        <v>175.1</v>
      </c>
      <c r="LV19" s="2">
        <v>154.5</v>
      </c>
      <c r="LW19" s="2">
        <v>166.5</v>
      </c>
      <c r="LX19" s="2">
        <v>177.2</v>
      </c>
      <c r="LY19" s="2">
        <v>155.9</v>
      </c>
      <c r="LZ19" s="2">
        <v>168.4</v>
      </c>
      <c r="MA19" s="2">
        <v>178.7</v>
      </c>
      <c r="MB19" s="2">
        <v>157.4</v>
      </c>
      <c r="MC19" s="2">
        <v>169.9</v>
      </c>
      <c r="MD19" s="2">
        <v>180.3</v>
      </c>
      <c r="ME19" s="2">
        <v>158.7</v>
      </c>
      <c r="MF19" s="2">
        <v>171.3</v>
      </c>
      <c r="MG19" s="2">
        <v>181.7</v>
      </c>
      <c r="MH19" s="2">
        <v>160.0</v>
      </c>
      <c r="MI19" s="2">
        <v>172.7</v>
      </c>
      <c r="MJ19" s="2">
        <v>183.3</v>
      </c>
      <c r="MK19" s="2">
        <v>161.7</v>
      </c>
      <c r="ML19" s="2">
        <v>174.3</v>
      </c>
      <c r="MM19" s="2">
        <v>184.4</v>
      </c>
      <c r="MN19" s="2">
        <v>162.6</v>
      </c>
      <c r="MO19" s="2">
        <v>175.3</v>
      </c>
      <c r="MP19" s="2">
        <v>185.2</v>
      </c>
      <c r="MQ19" s="2">
        <v>163.5</v>
      </c>
      <c r="MR19" s="2">
        <v>176.2</v>
      </c>
      <c r="MS19" s="2">
        <v>185.9</v>
      </c>
      <c r="MT19" s="2">
        <v>164.5</v>
      </c>
      <c r="MU19" s="2">
        <v>177.0</v>
      </c>
      <c r="MV19" s="2">
        <v>186.3</v>
      </c>
      <c r="MW19" s="2">
        <v>165.3</v>
      </c>
      <c r="MX19" s="2">
        <v>177.6</v>
      </c>
      <c r="MY19" s="2">
        <v>187.0</v>
      </c>
      <c r="MZ19" s="2">
        <v>167.0</v>
      </c>
      <c r="NA19" s="2">
        <v>178.7</v>
      </c>
      <c r="NB19" s="2">
        <v>187.0</v>
      </c>
      <c r="NC19" s="2">
        <v>167.0</v>
      </c>
      <c r="ND19" s="2">
        <v>178.7</v>
      </c>
      <c r="NE19" s="2">
        <v>187.3</v>
      </c>
      <c r="NF19" s="2">
        <v>167.7</v>
      </c>
      <c r="NG19" s="2">
        <v>179.2</v>
      </c>
      <c r="NH19" s="2">
        <v>187.9</v>
      </c>
      <c r="NI19" s="2">
        <v>168.1</v>
      </c>
      <c r="NJ19" s="2">
        <v>179.7</v>
      </c>
    </row>
    <row r="20">
      <c r="A20" s="2" t="s">
        <v>19</v>
      </c>
      <c r="B20" s="2" t="str">
        <f>VLOOKUP(A20, NOTES!C21:D46, 2,0)</f>
        <v>Clothing and Housing</v>
      </c>
      <c r="C20" s="2">
        <v>106.4</v>
      </c>
      <c r="D20" s="2">
        <v>105.8</v>
      </c>
      <c r="E20" s="2">
        <v>106.2</v>
      </c>
      <c r="F20" s="2">
        <v>107.0</v>
      </c>
      <c r="G20" s="2">
        <v>106.4</v>
      </c>
      <c r="H20" s="2">
        <v>106.8</v>
      </c>
      <c r="I20" s="2">
        <v>107.5</v>
      </c>
      <c r="J20" s="2">
        <v>107.0</v>
      </c>
      <c r="K20" s="2">
        <v>107.3</v>
      </c>
      <c r="L20" s="2">
        <v>108.0</v>
      </c>
      <c r="M20" s="2">
        <v>107.7</v>
      </c>
      <c r="N20" s="2">
        <v>107.9</v>
      </c>
      <c r="O20" s="2">
        <v>108.6</v>
      </c>
      <c r="P20" s="2">
        <v>108.3</v>
      </c>
      <c r="Q20" s="2">
        <v>108.5</v>
      </c>
      <c r="R20" s="2">
        <v>109.5</v>
      </c>
      <c r="S20" s="2">
        <v>108.9</v>
      </c>
      <c r="T20" s="2">
        <v>109.3</v>
      </c>
      <c r="U20" s="2">
        <v>110.3</v>
      </c>
      <c r="V20" s="2">
        <v>109.5</v>
      </c>
      <c r="W20" s="2">
        <v>110.0</v>
      </c>
      <c r="X20" s="2">
        <v>111.1</v>
      </c>
      <c r="Y20" s="2">
        <v>110.2</v>
      </c>
      <c r="Z20" s="2">
        <v>110.7</v>
      </c>
      <c r="AA20" s="2">
        <v>112.5</v>
      </c>
      <c r="AB20" s="2">
        <v>111.1</v>
      </c>
      <c r="AC20" s="2">
        <v>111.9</v>
      </c>
      <c r="AD20" s="2">
        <v>113.4</v>
      </c>
      <c r="AE20" s="2">
        <v>112.0</v>
      </c>
      <c r="AF20" s="2">
        <v>112.8</v>
      </c>
      <c r="AG20" s="2">
        <v>114.4</v>
      </c>
      <c r="AH20" s="2">
        <v>113.0</v>
      </c>
      <c r="AI20" s="2">
        <v>113.8</v>
      </c>
      <c r="AJ20" s="2">
        <v>115.5</v>
      </c>
      <c r="AK20" s="2">
        <v>113.7</v>
      </c>
      <c r="AL20" s="2">
        <v>114.8</v>
      </c>
      <c r="AM20" s="2">
        <v>116.2</v>
      </c>
      <c r="AN20" s="2">
        <v>114.3</v>
      </c>
      <c r="AO20" s="2">
        <v>115.4</v>
      </c>
      <c r="AP20" s="2">
        <v>116.7</v>
      </c>
      <c r="AQ20" s="2">
        <v>114.7</v>
      </c>
      <c r="AR20" s="2">
        <v>115.9</v>
      </c>
      <c r="AS20" s="2">
        <v>117.2</v>
      </c>
      <c r="AT20" s="2">
        <v>115.2</v>
      </c>
      <c r="AU20" s="2">
        <v>116.4</v>
      </c>
      <c r="AV20" s="2">
        <v>117.8</v>
      </c>
      <c r="AW20" s="2">
        <v>115.7</v>
      </c>
      <c r="AX20" s="2">
        <v>117.0</v>
      </c>
      <c r="AY20" s="2">
        <v>118.5</v>
      </c>
      <c r="AZ20" s="2">
        <v>116.2</v>
      </c>
      <c r="BA20" s="2">
        <v>117.6</v>
      </c>
      <c r="BB20" s="2">
        <v>119.3</v>
      </c>
      <c r="BC20" s="2">
        <v>116.7</v>
      </c>
      <c r="BD20" s="2">
        <v>118.3</v>
      </c>
      <c r="BE20" s="2">
        <v>120.3</v>
      </c>
      <c r="BF20" s="2">
        <v>117.4</v>
      </c>
      <c r="BG20" s="2">
        <v>119.1</v>
      </c>
      <c r="BH20" s="2">
        <v>120.7</v>
      </c>
      <c r="BI20" s="2">
        <v>117.9</v>
      </c>
      <c r="BJ20" s="2">
        <v>119.6</v>
      </c>
      <c r="BK20" s="2">
        <v>121.3</v>
      </c>
      <c r="BL20" s="2">
        <v>118.4</v>
      </c>
      <c r="BM20" s="2">
        <v>120.1</v>
      </c>
      <c r="BN20" s="2">
        <v>122.3</v>
      </c>
      <c r="BO20" s="2">
        <v>118.9</v>
      </c>
      <c r="BP20" s="2">
        <v>121.0</v>
      </c>
      <c r="BQ20" s="2">
        <v>122.9</v>
      </c>
      <c r="BR20" s="2">
        <v>119.5</v>
      </c>
      <c r="BS20" s="2">
        <v>121.6</v>
      </c>
      <c r="BT20" s="2">
        <v>123.3</v>
      </c>
      <c r="BU20" s="2">
        <v>120.0</v>
      </c>
      <c r="BV20" s="2">
        <v>122.0</v>
      </c>
      <c r="BW20" s="2">
        <v>124.0</v>
      </c>
      <c r="BX20" s="2">
        <v>120.2</v>
      </c>
      <c r="BY20" s="2">
        <v>122.5</v>
      </c>
      <c r="BZ20" s="2">
        <v>125.0</v>
      </c>
      <c r="CA20" s="2">
        <v>120.6</v>
      </c>
      <c r="CB20" s="2">
        <v>123.3</v>
      </c>
      <c r="CC20" s="2">
        <v>125.5</v>
      </c>
      <c r="CD20" s="2">
        <v>120.9</v>
      </c>
      <c r="CE20" s="2">
        <v>123.7</v>
      </c>
      <c r="CF20" s="2">
        <v>126.0</v>
      </c>
      <c r="CG20" s="2">
        <v>121.3</v>
      </c>
      <c r="CH20" s="2">
        <v>124.1</v>
      </c>
      <c r="CI20" s="2">
        <v>126.8</v>
      </c>
      <c r="CJ20" s="2">
        <v>121.6</v>
      </c>
      <c r="CK20" s="2">
        <v>124.7</v>
      </c>
      <c r="CL20" s="2">
        <v>128.0</v>
      </c>
      <c r="CM20" s="2">
        <v>122.3</v>
      </c>
      <c r="CN20" s="2">
        <v>125.7</v>
      </c>
      <c r="CO20" s="2">
        <v>128.3</v>
      </c>
      <c r="CP20" s="2">
        <v>122.7</v>
      </c>
      <c r="CQ20" s="2">
        <v>126.1</v>
      </c>
      <c r="CR20" s="2">
        <v>129.0</v>
      </c>
      <c r="CS20" s="2">
        <v>122.9</v>
      </c>
      <c r="CT20" s="2">
        <v>126.6</v>
      </c>
      <c r="CU20" s="2">
        <v>129.9</v>
      </c>
      <c r="CV20" s="2">
        <v>123.2</v>
      </c>
      <c r="CW20" s="2">
        <v>127.2</v>
      </c>
      <c r="CX20" s="2">
        <v>130.6</v>
      </c>
      <c r="CY20" s="2">
        <v>123.6</v>
      </c>
      <c r="CZ20" s="2">
        <v>127.8</v>
      </c>
      <c r="DA20" s="2">
        <v>131.5</v>
      </c>
      <c r="DB20" s="2">
        <v>124.2</v>
      </c>
      <c r="DC20" s="2">
        <v>128.6</v>
      </c>
      <c r="DD20" s="2">
        <v>131.9</v>
      </c>
      <c r="DE20" s="2">
        <v>124.5</v>
      </c>
      <c r="DF20" s="2">
        <v>129.0</v>
      </c>
      <c r="DG20" s="2">
        <v>132.6</v>
      </c>
      <c r="DH20" s="2">
        <v>124.9</v>
      </c>
      <c r="DI20" s="2">
        <v>129.5</v>
      </c>
      <c r="DJ20" s="2">
        <v>133.4</v>
      </c>
      <c r="DK20" s="2">
        <v>125.3</v>
      </c>
      <c r="DL20" s="2">
        <v>130.2</v>
      </c>
      <c r="DM20" s="2">
        <v>133.8</v>
      </c>
      <c r="DN20" s="2">
        <v>125.5</v>
      </c>
      <c r="DO20" s="2">
        <v>130.5</v>
      </c>
      <c r="DP20" s="2">
        <v>134.4</v>
      </c>
      <c r="DQ20" s="2">
        <v>125.8</v>
      </c>
      <c r="DR20" s="2">
        <v>131.0</v>
      </c>
      <c r="DS20" s="2">
        <v>134.8</v>
      </c>
      <c r="DT20" s="2">
        <v>126.2</v>
      </c>
      <c r="DU20" s="2">
        <v>131.4</v>
      </c>
      <c r="DV20" s="2">
        <v>135.6</v>
      </c>
      <c r="DW20" s="2">
        <v>126.6</v>
      </c>
      <c r="DX20" s="2">
        <v>132.0</v>
      </c>
      <c r="DY20" s="2">
        <v>136.5</v>
      </c>
      <c r="DZ20" s="2">
        <v>126.9</v>
      </c>
      <c r="EA20" s="2">
        <v>132.7</v>
      </c>
      <c r="EB20" s="2">
        <v>137.1</v>
      </c>
      <c r="EC20" s="2">
        <v>127.3</v>
      </c>
      <c r="ED20" s="2">
        <v>133.2</v>
      </c>
      <c r="EE20" s="2">
        <v>137.8</v>
      </c>
      <c r="EF20" s="2">
        <v>127.7</v>
      </c>
      <c r="EG20" s="2">
        <v>133.8</v>
      </c>
      <c r="EH20" s="2">
        <v>138.8</v>
      </c>
      <c r="EI20" s="2">
        <v>128.0</v>
      </c>
      <c r="EJ20" s="2">
        <v>134.5</v>
      </c>
      <c r="EK20" s="2">
        <v>139.2</v>
      </c>
      <c r="EL20" s="2">
        <v>128.5</v>
      </c>
      <c r="EM20" s="2">
        <v>135.0</v>
      </c>
      <c r="EN20" s="2">
        <v>139.7</v>
      </c>
      <c r="EO20" s="2">
        <v>128.8</v>
      </c>
      <c r="EP20" s="2">
        <v>135.4</v>
      </c>
      <c r="EQ20" s="2">
        <v>140.0</v>
      </c>
      <c r="ER20" s="2">
        <v>129.0</v>
      </c>
      <c r="ES20" s="2">
        <v>135.6</v>
      </c>
      <c r="ET20" s="2">
        <v>140.2</v>
      </c>
      <c r="EU20" s="2">
        <v>129.3</v>
      </c>
      <c r="EV20" s="2">
        <v>135.9</v>
      </c>
      <c r="EW20" s="2">
        <v>140.8</v>
      </c>
      <c r="EX20" s="2">
        <v>129.6</v>
      </c>
      <c r="EY20" s="2">
        <v>136.4</v>
      </c>
      <c r="EZ20" s="2">
        <v>141.6</v>
      </c>
      <c r="FA20" s="2">
        <v>130.0</v>
      </c>
      <c r="FB20" s="2">
        <v>137.0</v>
      </c>
      <c r="FC20" s="2">
        <v>141.8</v>
      </c>
      <c r="FD20" s="2">
        <v>130.2</v>
      </c>
      <c r="FE20" s="2">
        <v>137.2</v>
      </c>
      <c r="FF20" s="2">
        <v>142.3</v>
      </c>
      <c r="FG20" s="2">
        <v>130.2</v>
      </c>
      <c r="FH20" s="2">
        <v>137.5</v>
      </c>
      <c r="FI20" s="2">
        <v>143.5</v>
      </c>
      <c r="FJ20" s="2">
        <v>130.4</v>
      </c>
      <c r="FK20" s="2">
        <v>138.3</v>
      </c>
      <c r="FL20" s="2">
        <v>144.5</v>
      </c>
      <c r="FM20" s="2">
        <v>131.4</v>
      </c>
      <c r="FN20" s="2">
        <v>139.3</v>
      </c>
      <c r="FO20" s="2">
        <v>145.2</v>
      </c>
      <c r="FP20" s="2">
        <v>132.0</v>
      </c>
      <c r="FQ20" s="2">
        <v>140.0</v>
      </c>
      <c r="FR20" s="2">
        <v>146.2</v>
      </c>
      <c r="FS20" s="2">
        <v>132.6</v>
      </c>
      <c r="FT20" s="2">
        <v>140.8</v>
      </c>
      <c r="FU20" s="2">
        <v>147.3</v>
      </c>
      <c r="FV20" s="2">
        <v>133.5</v>
      </c>
      <c r="FW20" s="2">
        <v>141.8</v>
      </c>
      <c r="FX20" s="2">
        <v>147.2</v>
      </c>
      <c r="FY20" s="2">
        <v>134.0</v>
      </c>
      <c r="FZ20" s="2">
        <v>142.0</v>
      </c>
      <c r="GA20" s="2">
        <v>147.5</v>
      </c>
      <c r="GB20" s="2">
        <v>134.4</v>
      </c>
      <c r="GC20" s="2">
        <v>142.3</v>
      </c>
      <c r="GD20" s="2">
        <v>147.8</v>
      </c>
      <c r="GE20" s="2">
        <v>134.7</v>
      </c>
      <c r="GF20" s="2">
        <v>142.6</v>
      </c>
      <c r="GG20" s="2">
        <v>148.3</v>
      </c>
      <c r="GH20" s="2">
        <v>135.2</v>
      </c>
      <c r="GI20" s="2">
        <v>143.1</v>
      </c>
      <c r="GJ20" s="2">
        <v>149.1</v>
      </c>
      <c r="GK20" s="2">
        <v>136.2</v>
      </c>
      <c r="GL20" s="2">
        <v>144.0</v>
      </c>
      <c r="GM20" s="2">
        <v>149.8</v>
      </c>
      <c r="GN20" s="2">
        <v>137.0</v>
      </c>
      <c r="GO20" s="2">
        <v>144.7</v>
      </c>
      <c r="GP20" s="2">
        <v>150.3</v>
      </c>
      <c r="GQ20" s="2">
        <v>137.4</v>
      </c>
      <c r="GR20" s="2">
        <v>145.2</v>
      </c>
      <c r="GS20" s="2">
        <v>150.6</v>
      </c>
      <c r="GT20" s="2">
        <v>137.9</v>
      </c>
      <c r="GU20" s="2">
        <v>145.6</v>
      </c>
      <c r="GV20" s="2">
        <v>151.3</v>
      </c>
      <c r="GW20" s="2">
        <v>138.3</v>
      </c>
      <c r="GX20" s="2">
        <v>146.1</v>
      </c>
      <c r="GY20" s="2">
        <v>151.3</v>
      </c>
      <c r="GZ20" s="2">
        <v>139.1</v>
      </c>
      <c r="HA20" s="2">
        <v>146.5</v>
      </c>
      <c r="HB20" s="2">
        <v>149.8</v>
      </c>
      <c r="HC20" s="2">
        <v>139.7</v>
      </c>
      <c r="HD20" s="2">
        <v>146.8</v>
      </c>
      <c r="HE20" s="2">
        <v>150.8</v>
      </c>
      <c r="HF20" s="2">
        <v>140.5</v>
      </c>
      <c r="HG20" s="2">
        <v>146.7</v>
      </c>
      <c r="HH20" s="2">
        <v>150.8</v>
      </c>
      <c r="HI20" s="2">
        <v>140.8</v>
      </c>
      <c r="HJ20" s="2">
        <v>146.8</v>
      </c>
      <c r="HK20" s="2">
        <v>149.9</v>
      </c>
      <c r="HL20" s="2">
        <v>141.1</v>
      </c>
      <c r="HM20" s="2">
        <v>146.4</v>
      </c>
      <c r="HN20" s="2">
        <v>149.9</v>
      </c>
      <c r="HO20" s="2">
        <v>141.4</v>
      </c>
      <c r="HP20" s="2">
        <v>146.5</v>
      </c>
      <c r="HQ20" s="2">
        <v>150.1</v>
      </c>
      <c r="HR20" s="2">
        <v>141.6</v>
      </c>
      <c r="HS20" s="2">
        <v>146.7</v>
      </c>
      <c r="HT20" s="2">
        <v>150.7</v>
      </c>
      <c r="HU20" s="2">
        <v>142.2</v>
      </c>
      <c r="HV20" s="2">
        <v>147.3</v>
      </c>
      <c r="HW20" s="2">
        <v>150.7</v>
      </c>
      <c r="HX20" s="2">
        <v>142.4</v>
      </c>
      <c r="HY20" s="2">
        <v>147.4</v>
      </c>
      <c r="HZ20" s="2">
        <v>150.9</v>
      </c>
      <c r="IA20" s="2">
        <v>142.7</v>
      </c>
      <c r="IB20" s="2">
        <v>147.6</v>
      </c>
      <c r="IC20" s="2">
        <v>151.1</v>
      </c>
      <c r="ID20" s="2">
        <v>143.0</v>
      </c>
      <c r="IE20" s="2">
        <v>147.9</v>
      </c>
      <c r="IF20" s="2">
        <v>151.0</v>
      </c>
      <c r="IG20" s="2">
        <v>143.3</v>
      </c>
      <c r="IH20" s="2">
        <v>147.9</v>
      </c>
      <c r="II20" s="2">
        <v>151.0</v>
      </c>
      <c r="IJ20" s="2">
        <v>143.9</v>
      </c>
      <c r="IK20" s="2">
        <v>148.2</v>
      </c>
      <c r="IL20" s="2">
        <v>151.5</v>
      </c>
      <c r="IM20" s="2">
        <v>144.2</v>
      </c>
      <c r="IN20" s="2">
        <v>148.6</v>
      </c>
      <c r="IO20" s="2">
        <v>151.9</v>
      </c>
      <c r="IP20" s="2">
        <v>144.6</v>
      </c>
      <c r="IQ20" s="2">
        <v>149.0</v>
      </c>
      <c r="IR20" s="2">
        <v>152.1</v>
      </c>
      <c r="IS20" s="2">
        <v>144.9</v>
      </c>
      <c r="IT20" s="2">
        <v>149.2</v>
      </c>
      <c r="IU20" s="2">
        <v>152.3</v>
      </c>
      <c r="IV20" s="2">
        <v>145.2</v>
      </c>
      <c r="IW20" s="2">
        <v>149.5</v>
      </c>
      <c r="IX20" s="2">
        <v>152.5</v>
      </c>
      <c r="IY20" s="2">
        <v>145.6</v>
      </c>
      <c r="IZ20" s="2">
        <v>149.8</v>
      </c>
      <c r="JA20" s="2" t="s">
        <v>32</v>
      </c>
      <c r="JB20" s="2" t="s">
        <v>32</v>
      </c>
      <c r="JC20" s="2" t="s">
        <v>32</v>
      </c>
      <c r="JD20" s="2" t="s">
        <v>32</v>
      </c>
      <c r="JE20" s="2" t="s">
        <v>32</v>
      </c>
      <c r="JF20" s="2" t="s">
        <v>32</v>
      </c>
      <c r="JG20" s="2">
        <v>154.1</v>
      </c>
      <c r="JH20" s="2">
        <v>147.2</v>
      </c>
      <c r="JI20" s="2">
        <v>151.4</v>
      </c>
      <c r="JJ20" s="2">
        <v>154.1</v>
      </c>
      <c r="JK20" s="2">
        <v>147.2</v>
      </c>
      <c r="JL20" s="2">
        <v>151.4</v>
      </c>
      <c r="JM20" s="2">
        <v>154.3</v>
      </c>
      <c r="JN20" s="2">
        <v>147.8</v>
      </c>
      <c r="JO20" s="2">
        <v>151.7</v>
      </c>
      <c r="JP20" s="2">
        <v>154.6</v>
      </c>
      <c r="JQ20" s="2">
        <v>148.1</v>
      </c>
      <c r="JR20" s="2">
        <v>152.0</v>
      </c>
      <c r="JS20" s="2">
        <v>155.0</v>
      </c>
      <c r="JT20" s="2">
        <v>148.3</v>
      </c>
      <c r="JU20" s="2">
        <v>152.3</v>
      </c>
      <c r="JV20" s="2">
        <v>155.5</v>
      </c>
      <c r="JW20" s="2">
        <v>148.8</v>
      </c>
      <c r="JX20" s="2">
        <v>152.8</v>
      </c>
      <c r="JY20" s="2">
        <v>156.3</v>
      </c>
      <c r="JZ20" s="2">
        <v>149.6</v>
      </c>
      <c r="KA20" s="2">
        <v>153.6</v>
      </c>
      <c r="KB20" s="2">
        <v>156.8</v>
      </c>
      <c r="KC20" s="2">
        <v>150.2</v>
      </c>
      <c r="KD20" s="2">
        <v>154.2</v>
      </c>
      <c r="KE20" s="2">
        <v>158.4</v>
      </c>
      <c r="KF20" s="2">
        <v>151.8</v>
      </c>
      <c r="KG20" s="2">
        <v>155.8</v>
      </c>
      <c r="KH20" s="2">
        <v>158.9</v>
      </c>
      <c r="KI20" s="2">
        <v>152.6</v>
      </c>
      <c r="KJ20" s="2">
        <v>156.4</v>
      </c>
      <c r="KK20" s="2">
        <v>159.9</v>
      </c>
      <c r="KL20" s="2">
        <v>153.4</v>
      </c>
      <c r="KM20" s="2">
        <v>157.3</v>
      </c>
      <c r="KN20" s="2">
        <v>164.5</v>
      </c>
      <c r="KO20" s="2">
        <v>154.1</v>
      </c>
      <c r="KP20" s="2">
        <v>160.4</v>
      </c>
      <c r="KQ20" s="2">
        <v>164.6</v>
      </c>
      <c r="KR20" s="2">
        <v>154.8</v>
      </c>
      <c r="KS20" s="2">
        <v>160.7</v>
      </c>
      <c r="KT20" s="2">
        <v>165.3</v>
      </c>
      <c r="KU20" s="2">
        <v>155.5</v>
      </c>
      <c r="KV20" s="2">
        <v>161.4</v>
      </c>
      <c r="KW20" s="2">
        <v>166.3</v>
      </c>
      <c r="KX20" s="2">
        <v>157.3</v>
      </c>
      <c r="KY20" s="2">
        <v>163.2</v>
      </c>
      <c r="KZ20" s="2">
        <v>167.1</v>
      </c>
      <c r="LA20" s="2">
        <v>157.4</v>
      </c>
      <c r="LB20" s="2">
        <v>163.3</v>
      </c>
      <c r="LC20" s="2">
        <v>168.3</v>
      </c>
      <c r="LD20" s="2">
        <v>158.3</v>
      </c>
      <c r="LE20" s="2">
        <v>164.3</v>
      </c>
      <c r="LF20" s="2">
        <v>169.8</v>
      </c>
      <c r="LG20" s="2">
        <v>159.7</v>
      </c>
      <c r="LH20" s="2">
        <v>165.8</v>
      </c>
      <c r="LI20" s="2">
        <v>171.2</v>
      </c>
      <c r="LJ20" s="2">
        <v>160.7</v>
      </c>
      <c r="LK20" s="2">
        <v>167.0</v>
      </c>
      <c r="LL20" s="2">
        <v>172.7</v>
      </c>
      <c r="LM20" s="2">
        <v>162.2</v>
      </c>
      <c r="LN20" s="2">
        <v>168.5</v>
      </c>
      <c r="LO20" s="2">
        <v>173.7</v>
      </c>
      <c r="LP20" s="2">
        <v>163.4</v>
      </c>
      <c r="LQ20" s="2">
        <v>169.6</v>
      </c>
      <c r="LR20" s="2">
        <v>175.1</v>
      </c>
      <c r="LS20" s="2">
        <v>164.9</v>
      </c>
      <c r="LT20" s="2">
        <v>171.1</v>
      </c>
      <c r="LU20" s="2">
        <v>177.1</v>
      </c>
      <c r="LV20" s="2">
        <v>166.3</v>
      </c>
      <c r="LW20" s="2">
        <v>172.8</v>
      </c>
      <c r="LX20" s="2">
        <v>179.0</v>
      </c>
      <c r="LY20" s="2">
        <v>167.8</v>
      </c>
      <c r="LZ20" s="2">
        <v>174.6</v>
      </c>
      <c r="MA20" s="2">
        <v>180.4</v>
      </c>
      <c r="MB20" s="2">
        <v>169.4</v>
      </c>
      <c r="MC20" s="2">
        <v>176.0</v>
      </c>
      <c r="MD20" s="2">
        <v>181.7</v>
      </c>
      <c r="ME20" s="2">
        <v>170.6</v>
      </c>
      <c r="MF20" s="2">
        <v>177.3</v>
      </c>
      <c r="MG20" s="2">
        <v>183.0</v>
      </c>
      <c r="MH20" s="2">
        <v>171.6</v>
      </c>
      <c r="MI20" s="2">
        <v>178.5</v>
      </c>
      <c r="MJ20" s="2">
        <v>184.5</v>
      </c>
      <c r="MK20" s="2">
        <v>173.0</v>
      </c>
      <c r="ML20" s="2">
        <v>179.9</v>
      </c>
      <c r="MM20" s="2">
        <v>185.9</v>
      </c>
      <c r="MN20" s="2">
        <v>173.6</v>
      </c>
      <c r="MO20" s="2">
        <v>181.0</v>
      </c>
      <c r="MP20" s="2">
        <v>186.9</v>
      </c>
      <c r="MQ20" s="2">
        <v>174.7</v>
      </c>
      <c r="MR20" s="2">
        <v>182.1</v>
      </c>
      <c r="MS20" s="2">
        <v>187.8</v>
      </c>
      <c r="MT20" s="2">
        <v>175.7</v>
      </c>
      <c r="MU20" s="2">
        <v>183.0</v>
      </c>
      <c r="MV20" s="2">
        <v>188.6</v>
      </c>
      <c r="MW20" s="2">
        <v>176.6</v>
      </c>
      <c r="MX20" s="2">
        <v>183.8</v>
      </c>
      <c r="MY20" s="2">
        <v>189.6</v>
      </c>
      <c r="MZ20" s="2">
        <v>178.2</v>
      </c>
      <c r="NA20" s="2">
        <v>185.1</v>
      </c>
      <c r="NB20" s="2">
        <v>189.6</v>
      </c>
      <c r="NC20" s="2">
        <v>178.2</v>
      </c>
      <c r="ND20" s="2">
        <v>185.1</v>
      </c>
      <c r="NE20" s="2">
        <v>190.2</v>
      </c>
      <c r="NF20" s="2">
        <v>178.9</v>
      </c>
      <c r="NG20" s="2">
        <v>185.7</v>
      </c>
      <c r="NH20" s="2">
        <v>190.8</v>
      </c>
      <c r="NI20" s="2">
        <v>179.3</v>
      </c>
      <c r="NJ20" s="2">
        <v>186.2</v>
      </c>
    </row>
    <row r="21" ht="15.75" customHeight="1">
      <c r="A21" s="2" t="s">
        <v>20</v>
      </c>
      <c r="B21" s="2" t="str">
        <f>VLOOKUP(A21, NOTES!C22:D47, 2,0)</f>
        <v>Clothing and Housing</v>
      </c>
      <c r="C21" s="2" t="s">
        <v>32</v>
      </c>
      <c r="D21" s="2">
        <v>100.3</v>
      </c>
      <c r="E21" s="2">
        <f>SUMPRODUCT((Sheet3!$MA$1:$NJ$1="Rural+Urban")*(Sheet3!$A$4:$A$13=QUES_3!K22)*Sheet3!$MA$4:$NJ$13)</f>
        <v>0</v>
      </c>
      <c r="F21" s="4">
        <f t="shared" ref="F21:F31" si="1">E21/$E$31</f>
        <v>0</v>
      </c>
      <c r="G21" s="2">
        <v>100.4</v>
      </c>
      <c r="H21" s="2">
        <v>100.4</v>
      </c>
      <c r="I21" s="2" t="s">
        <v>32</v>
      </c>
      <c r="J21" s="2">
        <v>100.4</v>
      </c>
      <c r="K21" s="2">
        <v>100.4</v>
      </c>
      <c r="L21" s="2" t="s">
        <v>32</v>
      </c>
      <c r="M21" s="2">
        <v>100.5</v>
      </c>
      <c r="N21" s="2">
        <v>100.5</v>
      </c>
      <c r="O21" s="2" t="s">
        <v>32</v>
      </c>
      <c r="P21" s="2">
        <v>100.5</v>
      </c>
      <c r="Q21" s="2">
        <v>100.5</v>
      </c>
      <c r="R21" s="2" t="s">
        <v>32</v>
      </c>
      <c r="S21" s="2">
        <v>106.6</v>
      </c>
      <c r="T21" s="2">
        <v>106.6</v>
      </c>
      <c r="U21" s="2" t="s">
        <v>32</v>
      </c>
      <c r="V21" s="2">
        <v>107.7</v>
      </c>
      <c r="W21" s="2">
        <v>107.7</v>
      </c>
      <c r="X21" s="2" t="s">
        <v>32</v>
      </c>
      <c r="Y21" s="2">
        <v>108.9</v>
      </c>
      <c r="Z21" s="2">
        <v>108.9</v>
      </c>
      <c r="AA21" s="2" t="s">
        <v>32</v>
      </c>
      <c r="AB21" s="2">
        <v>109.7</v>
      </c>
      <c r="AC21" s="2">
        <v>109.7</v>
      </c>
      <c r="AD21" s="2" t="s">
        <v>32</v>
      </c>
      <c r="AE21" s="2">
        <v>110.5</v>
      </c>
      <c r="AF21" s="2">
        <v>110.5</v>
      </c>
      <c r="AG21" s="2" t="s">
        <v>32</v>
      </c>
      <c r="AH21" s="2">
        <v>111.1</v>
      </c>
      <c r="AI21" s="2">
        <v>111.1</v>
      </c>
      <c r="AJ21" s="2" t="s">
        <v>32</v>
      </c>
      <c r="AK21" s="2">
        <v>110.7</v>
      </c>
      <c r="AL21" s="2">
        <v>110.7</v>
      </c>
      <c r="AM21" s="2" t="s">
        <v>32</v>
      </c>
      <c r="AN21" s="2">
        <v>111.6</v>
      </c>
      <c r="AO21" s="2">
        <v>111.6</v>
      </c>
      <c r="AP21" s="2" t="s">
        <v>32</v>
      </c>
      <c r="AQ21" s="2">
        <v>112.5</v>
      </c>
      <c r="AR21" s="2">
        <v>112.5</v>
      </c>
      <c r="AS21" s="2" t="s">
        <v>32</v>
      </c>
      <c r="AT21" s="2">
        <v>113.2</v>
      </c>
      <c r="AU21" s="2">
        <v>113.2</v>
      </c>
      <c r="AV21" s="2" t="s">
        <v>32</v>
      </c>
      <c r="AW21" s="2">
        <v>113.9</v>
      </c>
      <c r="AX21" s="2">
        <v>113.9</v>
      </c>
      <c r="AY21" s="2" t="s">
        <v>32</v>
      </c>
      <c r="AZ21" s="2">
        <v>114.3</v>
      </c>
      <c r="BA21" s="2">
        <v>114.3</v>
      </c>
      <c r="BB21" s="2" t="s">
        <v>32</v>
      </c>
      <c r="BC21" s="2">
        <v>113.9</v>
      </c>
      <c r="BD21" s="2">
        <v>113.9</v>
      </c>
      <c r="BE21" s="2" t="s">
        <v>32</v>
      </c>
      <c r="BF21" s="2">
        <v>114.8</v>
      </c>
      <c r="BG21" s="2">
        <v>114.8</v>
      </c>
      <c r="BH21" s="2" t="s">
        <v>32</v>
      </c>
      <c r="BI21" s="2">
        <v>115.5</v>
      </c>
      <c r="BJ21" s="2">
        <v>115.5</v>
      </c>
      <c r="BK21" s="2" t="s">
        <v>32</v>
      </c>
      <c r="BL21" s="2">
        <v>116.1</v>
      </c>
      <c r="BM21" s="2">
        <v>116.1</v>
      </c>
      <c r="BN21" s="2" t="s">
        <v>32</v>
      </c>
      <c r="BO21" s="2">
        <v>116.7</v>
      </c>
      <c r="BP21" s="2">
        <v>116.7</v>
      </c>
      <c r="BQ21" s="2" t="s">
        <v>32</v>
      </c>
      <c r="BR21" s="2">
        <v>117.1</v>
      </c>
      <c r="BS21" s="2">
        <v>117.1</v>
      </c>
      <c r="BT21" s="2" t="s">
        <v>32</v>
      </c>
      <c r="BU21" s="2">
        <v>116.5</v>
      </c>
      <c r="BV21" s="2">
        <v>116.5</v>
      </c>
      <c r="BW21" s="2" t="s">
        <v>32</v>
      </c>
      <c r="BX21" s="2">
        <v>117.3</v>
      </c>
      <c r="BY21" s="2">
        <v>117.3</v>
      </c>
      <c r="BZ21" s="2" t="s">
        <v>32</v>
      </c>
      <c r="CA21" s="2">
        <v>118.1</v>
      </c>
      <c r="CB21" s="2">
        <v>118.1</v>
      </c>
      <c r="CC21" s="2" t="s">
        <v>32</v>
      </c>
      <c r="CD21" s="2">
        <v>118.6</v>
      </c>
      <c r="CE21" s="2">
        <v>118.6</v>
      </c>
      <c r="CF21" s="2" t="s">
        <v>32</v>
      </c>
      <c r="CG21" s="2">
        <v>119.2</v>
      </c>
      <c r="CH21" s="2">
        <v>119.2</v>
      </c>
      <c r="CI21" s="2" t="s">
        <v>32</v>
      </c>
      <c r="CJ21" s="2">
        <v>119.6</v>
      </c>
      <c r="CK21" s="2">
        <v>119.6</v>
      </c>
      <c r="CL21" s="2" t="s">
        <v>32</v>
      </c>
      <c r="CM21" s="2">
        <v>119.0</v>
      </c>
      <c r="CN21" s="2">
        <v>119.0</v>
      </c>
      <c r="CO21" s="2" t="s">
        <v>32</v>
      </c>
      <c r="CP21" s="2">
        <v>119.9</v>
      </c>
      <c r="CQ21" s="2">
        <v>119.9</v>
      </c>
      <c r="CR21" s="2" t="s">
        <v>32</v>
      </c>
      <c r="CS21" s="2">
        <v>120.9</v>
      </c>
      <c r="CT21" s="2">
        <v>120.9</v>
      </c>
      <c r="CU21" s="2" t="s">
        <v>32</v>
      </c>
      <c r="CV21" s="2">
        <v>121.6</v>
      </c>
      <c r="CW21" s="2">
        <v>121.6</v>
      </c>
      <c r="CX21" s="2" t="s">
        <v>32</v>
      </c>
      <c r="CY21" s="2">
        <v>122.4</v>
      </c>
      <c r="CZ21" s="2">
        <v>122.4</v>
      </c>
      <c r="DA21" s="2" t="s">
        <v>32</v>
      </c>
      <c r="DB21" s="2">
        <v>122.9</v>
      </c>
      <c r="DC21" s="2">
        <v>122.9</v>
      </c>
      <c r="DD21" s="2" t="s">
        <v>32</v>
      </c>
      <c r="DE21" s="2">
        <v>122.4</v>
      </c>
      <c r="DF21" s="2">
        <v>122.4</v>
      </c>
      <c r="DG21" s="2" t="s">
        <v>32</v>
      </c>
      <c r="DH21" s="2">
        <v>123.4</v>
      </c>
      <c r="DI21" s="2">
        <v>123.4</v>
      </c>
      <c r="DJ21" s="2" t="s">
        <v>32</v>
      </c>
      <c r="DK21" s="2">
        <v>124.4</v>
      </c>
      <c r="DL21" s="2">
        <v>124.4</v>
      </c>
      <c r="DM21" s="2" t="s">
        <v>32</v>
      </c>
      <c r="DN21" s="2">
        <v>124.9</v>
      </c>
      <c r="DO21" s="2">
        <v>124.9</v>
      </c>
      <c r="DP21" s="2" t="s">
        <v>32</v>
      </c>
      <c r="DQ21" s="2">
        <v>125.6</v>
      </c>
      <c r="DR21" s="2">
        <v>125.6</v>
      </c>
      <c r="DS21" s="2" t="s">
        <v>32</v>
      </c>
      <c r="DT21" s="2">
        <v>126.0</v>
      </c>
      <c r="DU21" s="2">
        <v>126.0</v>
      </c>
      <c r="DV21" s="2" t="s">
        <v>32</v>
      </c>
      <c r="DW21" s="2">
        <v>125.5</v>
      </c>
      <c r="DX21" s="2">
        <v>125.5</v>
      </c>
      <c r="DY21" s="2" t="s">
        <v>32</v>
      </c>
      <c r="DZ21" s="2">
        <v>126.4</v>
      </c>
      <c r="EA21" s="2">
        <v>126.4</v>
      </c>
      <c r="EB21" s="2" t="s">
        <v>32</v>
      </c>
      <c r="EC21" s="2">
        <v>127.3</v>
      </c>
      <c r="ED21" s="2">
        <v>127.3</v>
      </c>
      <c r="EE21" s="2" t="s">
        <v>32</v>
      </c>
      <c r="EF21" s="2">
        <v>127.9</v>
      </c>
      <c r="EG21" s="2">
        <v>127.9</v>
      </c>
      <c r="EH21" s="2" t="s">
        <v>32</v>
      </c>
      <c r="EI21" s="2">
        <v>128.7</v>
      </c>
      <c r="EJ21" s="2">
        <v>128.7</v>
      </c>
      <c r="EK21" s="2" t="s">
        <v>32</v>
      </c>
      <c r="EL21" s="2">
        <v>129.1</v>
      </c>
      <c r="EM21" s="2">
        <v>129.1</v>
      </c>
      <c r="EN21" s="2" t="s">
        <v>32</v>
      </c>
      <c r="EO21" s="2">
        <v>128.5</v>
      </c>
      <c r="EP21" s="2">
        <v>128.5</v>
      </c>
      <c r="EQ21" s="2" t="s">
        <v>32</v>
      </c>
      <c r="ER21" s="2">
        <v>129.6</v>
      </c>
      <c r="ES21" s="2">
        <v>129.6</v>
      </c>
      <c r="ET21" s="2" t="s">
        <v>32</v>
      </c>
      <c r="EU21" s="2">
        <v>130.5</v>
      </c>
      <c r="EV21" s="2">
        <v>130.5</v>
      </c>
      <c r="EW21" s="2" t="s">
        <v>32</v>
      </c>
      <c r="EX21" s="2">
        <v>131.1</v>
      </c>
      <c r="EY21" s="2">
        <v>131.1</v>
      </c>
      <c r="EZ21" s="2" t="s">
        <v>32</v>
      </c>
      <c r="FA21" s="2">
        <v>131.7</v>
      </c>
      <c r="FB21" s="2">
        <v>131.7</v>
      </c>
      <c r="FC21" s="2" t="s">
        <v>32</v>
      </c>
      <c r="FD21" s="2">
        <v>132.1</v>
      </c>
      <c r="FE21" s="2">
        <v>132.1</v>
      </c>
      <c r="FF21" s="2" t="s">
        <v>32</v>
      </c>
      <c r="FG21" s="2">
        <v>131.4</v>
      </c>
      <c r="FH21" s="2">
        <v>131.4</v>
      </c>
      <c r="FI21" s="2" t="s">
        <v>32</v>
      </c>
      <c r="FJ21" s="2">
        <v>132.6</v>
      </c>
      <c r="FK21" s="2">
        <v>132.6</v>
      </c>
      <c r="FL21" s="2" t="s">
        <v>32</v>
      </c>
      <c r="FM21" s="2">
        <v>134.4</v>
      </c>
      <c r="FN21" s="2">
        <v>134.4</v>
      </c>
      <c r="FO21" s="2" t="s">
        <v>32</v>
      </c>
      <c r="FP21" s="2">
        <v>135.7</v>
      </c>
      <c r="FQ21" s="2">
        <v>135.7</v>
      </c>
      <c r="FR21" s="2" t="s">
        <v>32</v>
      </c>
      <c r="FS21" s="2">
        <v>137.3</v>
      </c>
      <c r="FT21" s="2">
        <v>137.3</v>
      </c>
      <c r="FU21" s="2" t="s">
        <v>32</v>
      </c>
      <c r="FV21" s="2">
        <v>138.6</v>
      </c>
      <c r="FW21" s="2">
        <v>138.6</v>
      </c>
      <c r="FX21" s="2" t="s">
        <v>32</v>
      </c>
      <c r="FY21" s="2">
        <v>139.1</v>
      </c>
      <c r="FZ21" s="2">
        <v>139.1</v>
      </c>
      <c r="GA21" s="2" t="s">
        <v>32</v>
      </c>
      <c r="GB21" s="2">
        <v>140.4</v>
      </c>
      <c r="GC21" s="2">
        <v>140.4</v>
      </c>
      <c r="GD21" s="2" t="s">
        <v>32</v>
      </c>
      <c r="GE21" s="2">
        <v>141.3</v>
      </c>
      <c r="GF21" s="2">
        <v>141.3</v>
      </c>
      <c r="GG21" s="2" t="s">
        <v>32</v>
      </c>
      <c r="GH21" s="2">
        <v>142.0</v>
      </c>
      <c r="GI21" s="2">
        <v>142.0</v>
      </c>
      <c r="GJ21" s="2" t="s">
        <v>32</v>
      </c>
      <c r="GK21" s="2">
        <v>142.9</v>
      </c>
      <c r="GL21" s="2">
        <v>142.9</v>
      </c>
      <c r="GM21" s="2" t="s">
        <v>32</v>
      </c>
      <c r="GN21" s="2">
        <v>143.2</v>
      </c>
      <c r="GO21" s="2">
        <v>143.2</v>
      </c>
      <c r="GP21" s="2" t="s">
        <v>32</v>
      </c>
      <c r="GQ21" s="2">
        <v>142.5</v>
      </c>
      <c r="GR21" s="2">
        <v>142.5</v>
      </c>
      <c r="GS21" s="2" t="s">
        <v>32</v>
      </c>
      <c r="GT21" s="2">
        <v>143.6</v>
      </c>
      <c r="GU21" s="2">
        <v>143.6</v>
      </c>
      <c r="GV21" s="2" t="s">
        <v>32</v>
      </c>
      <c r="GW21" s="2">
        <v>144.6</v>
      </c>
      <c r="GX21" s="2">
        <v>144.6</v>
      </c>
      <c r="GY21" s="2" t="s">
        <v>32</v>
      </c>
      <c r="GZ21" s="2">
        <v>145.3</v>
      </c>
      <c r="HA21" s="2">
        <v>145.3</v>
      </c>
      <c r="HB21" s="2" t="s">
        <v>32</v>
      </c>
      <c r="HC21" s="2">
        <v>146.3</v>
      </c>
      <c r="HD21" s="2">
        <v>146.9</v>
      </c>
      <c r="HE21" s="2" t="s">
        <v>32</v>
      </c>
      <c r="HF21" s="2">
        <v>146.9</v>
      </c>
      <c r="HG21" s="2">
        <v>146.9</v>
      </c>
      <c r="HH21" s="2" t="s">
        <v>32</v>
      </c>
      <c r="HI21" s="2">
        <v>146.5</v>
      </c>
      <c r="HJ21" s="2">
        <v>146.5</v>
      </c>
      <c r="HK21" s="2" t="s">
        <v>32</v>
      </c>
      <c r="HL21" s="2">
        <v>147.7</v>
      </c>
      <c r="HM21" s="2">
        <v>147.7</v>
      </c>
      <c r="HN21" s="2" t="s">
        <v>32</v>
      </c>
      <c r="HO21" s="2">
        <v>148.5</v>
      </c>
      <c r="HP21" s="2">
        <v>148.5</v>
      </c>
      <c r="HQ21" s="2" t="s">
        <v>32</v>
      </c>
      <c r="HR21" s="2">
        <v>149.0</v>
      </c>
      <c r="HS21" s="2">
        <v>149.0</v>
      </c>
      <c r="HT21" s="2" t="s">
        <v>32</v>
      </c>
      <c r="HU21" s="2">
        <v>150.1</v>
      </c>
      <c r="HV21" s="2">
        <v>150.1</v>
      </c>
      <c r="HW21" s="2" t="s">
        <v>32</v>
      </c>
      <c r="HX21" s="2">
        <v>149.4</v>
      </c>
      <c r="HY21" s="2">
        <v>149.4</v>
      </c>
      <c r="HZ21" s="2" t="s">
        <v>32</v>
      </c>
      <c r="IA21" s="2">
        <v>150.6</v>
      </c>
      <c r="IB21" s="2">
        <v>150.6</v>
      </c>
      <c r="IC21" s="2" t="s">
        <v>32</v>
      </c>
      <c r="ID21" s="2">
        <v>151.6</v>
      </c>
      <c r="IE21" s="2">
        <v>151.6</v>
      </c>
      <c r="IF21" s="2" t="s">
        <v>32</v>
      </c>
      <c r="IG21" s="2">
        <v>152.2</v>
      </c>
      <c r="IH21" s="2">
        <v>152.2</v>
      </c>
      <c r="II21" s="2" t="s">
        <v>32</v>
      </c>
      <c r="IJ21" s="2">
        <v>153.0</v>
      </c>
      <c r="IK21" s="2">
        <v>153.0</v>
      </c>
      <c r="IL21" s="2" t="s">
        <v>32</v>
      </c>
      <c r="IM21" s="2">
        <v>153.5</v>
      </c>
      <c r="IN21" s="2">
        <v>153.5</v>
      </c>
      <c r="IO21" s="2" t="s">
        <v>32</v>
      </c>
      <c r="IP21" s="2">
        <v>152.8</v>
      </c>
      <c r="IQ21" s="2">
        <v>152.8</v>
      </c>
      <c r="IR21" s="2" t="s">
        <v>32</v>
      </c>
      <c r="IS21" s="2">
        <v>153.9</v>
      </c>
      <c r="IT21" s="2">
        <v>153.9</v>
      </c>
      <c r="IU21" s="2" t="s">
        <v>32</v>
      </c>
      <c r="IV21" s="2">
        <v>154.8</v>
      </c>
      <c r="IW21" s="2">
        <v>154.8</v>
      </c>
      <c r="IX21" s="2" t="s">
        <v>32</v>
      </c>
      <c r="IY21" s="2">
        <v>154.5</v>
      </c>
      <c r="IZ21" s="2">
        <v>154.5</v>
      </c>
      <c r="JA21" s="2" t="s">
        <v>32</v>
      </c>
      <c r="JB21" s="2">
        <v>155.6</v>
      </c>
      <c r="JC21" s="2">
        <v>155.6</v>
      </c>
      <c r="JD21" s="2" t="s">
        <v>32</v>
      </c>
      <c r="JE21" s="2" t="s">
        <v>32</v>
      </c>
      <c r="JF21" s="2" t="s">
        <v>32</v>
      </c>
      <c r="JG21" s="2" t="s">
        <v>32</v>
      </c>
      <c r="JH21" s="2">
        <v>154.7</v>
      </c>
      <c r="JI21" s="2">
        <v>154.7</v>
      </c>
      <c r="JJ21" s="2" t="s">
        <v>32</v>
      </c>
      <c r="JK21" s="2">
        <v>154.7</v>
      </c>
      <c r="JL21" s="2">
        <v>154.7</v>
      </c>
      <c r="JM21" s="2" t="s">
        <v>32</v>
      </c>
      <c r="JN21" s="2">
        <v>155.5</v>
      </c>
      <c r="JO21" s="2">
        <v>155.5</v>
      </c>
      <c r="JP21" s="2" t="s">
        <v>32</v>
      </c>
      <c r="JQ21" s="2">
        <v>156.3</v>
      </c>
      <c r="JR21" s="2">
        <v>156.3</v>
      </c>
      <c r="JS21" s="2" t="s">
        <v>32</v>
      </c>
      <c r="JT21" s="2">
        <v>156.5</v>
      </c>
      <c r="JU21" s="2">
        <v>156.5</v>
      </c>
      <c r="JV21" s="2" t="s">
        <v>32</v>
      </c>
      <c r="JW21" s="2">
        <v>158.0</v>
      </c>
      <c r="JX21" s="2">
        <v>158.0</v>
      </c>
      <c r="JY21" s="2" t="s">
        <v>32</v>
      </c>
      <c r="JZ21" s="2">
        <v>158.4</v>
      </c>
      <c r="KA21" s="2">
        <v>158.4</v>
      </c>
      <c r="KB21" s="2" t="s">
        <v>32</v>
      </c>
      <c r="KC21" s="2">
        <v>157.7</v>
      </c>
      <c r="KD21" s="2">
        <v>157.7</v>
      </c>
      <c r="KE21" s="2" t="s">
        <v>32</v>
      </c>
      <c r="KF21" s="2">
        <v>159.8</v>
      </c>
      <c r="KG21" s="2">
        <v>159.8</v>
      </c>
      <c r="KH21" s="2" t="s">
        <v>48</v>
      </c>
      <c r="KI21" s="2">
        <v>159.9</v>
      </c>
      <c r="KJ21" s="2">
        <v>159.9</v>
      </c>
      <c r="KK21" s="2" t="s">
        <v>48</v>
      </c>
      <c r="KL21" s="2">
        <v>161.4</v>
      </c>
      <c r="KM21" s="2">
        <v>161.4</v>
      </c>
      <c r="KN21" s="2" t="s">
        <v>32</v>
      </c>
      <c r="KO21" s="2">
        <v>161.6</v>
      </c>
      <c r="KP21" s="2">
        <v>161.6</v>
      </c>
      <c r="KQ21" s="2" t="s">
        <v>32</v>
      </c>
      <c r="KR21" s="2">
        <v>160.5</v>
      </c>
      <c r="KS21" s="2">
        <v>160.5</v>
      </c>
      <c r="KT21" s="2" t="s">
        <v>32</v>
      </c>
      <c r="KU21" s="2">
        <v>161.5</v>
      </c>
      <c r="KV21" s="2">
        <v>161.5</v>
      </c>
      <c r="KW21" s="2" t="s">
        <v>32</v>
      </c>
      <c r="KX21" s="2">
        <v>162.1</v>
      </c>
      <c r="KY21" s="2">
        <v>162.1</v>
      </c>
      <c r="KZ21" s="2" t="s">
        <v>32</v>
      </c>
      <c r="LA21" s="2">
        <v>162.1</v>
      </c>
      <c r="LB21" s="2">
        <v>162.1</v>
      </c>
      <c r="LC21" s="2" t="s">
        <v>32</v>
      </c>
      <c r="LD21" s="2">
        <v>163.6</v>
      </c>
      <c r="LE21" s="2">
        <v>163.6</v>
      </c>
      <c r="LF21" s="2" t="s">
        <v>32</v>
      </c>
      <c r="LG21" s="2">
        <v>164.2</v>
      </c>
      <c r="LH21" s="2">
        <v>164.2</v>
      </c>
      <c r="LI21" s="2" t="s">
        <v>32</v>
      </c>
      <c r="LJ21" s="2">
        <v>163.4</v>
      </c>
      <c r="LK21" s="2">
        <v>163.4</v>
      </c>
      <c r="LL21" s="2" t="s">
        <v>32</v>
      </c>
      <c r="LM21" s="2">
        <v>164.5</v>
      </c>
      <c r="LN21" s="2">
        <v>164.5</v>
      </c>
      <c r="LO21" s="2" t="s">
        <v>32</v>
      </c>
      <c r="LP21" s="2">
        <v>165.5</v>
      </c>
      <c r="LQ21" s="2">
        <v>165.5</v>
      </c>
      <c r="LR21" s="2" t="s">
        <v>32</v>
      </c>
      <c r="LS21" s="2">
        <v>165.3</v>
      </c>
      <c r="LT21" s="2">
        <v>165.3</v>
      </c>
      <c r="LU21" s="2" t="s">
        <v>32</v>
      </c>
      <c r="LV21" s="2">
        <v>167.0</v>
      </c>
      <c r="LW21" s="2">
        <v>167.0</v>
      </c>
      <c r="LX21" s="2" t="s">
        <v>32</v>
      </c>
      <c r="LY21" s="2">
        <v>167.5</v>
      </c>
      <c r="LZ21" s="2">
        <v>167.5</v>
      </c>
      <c r="MA21" s="2" t="s">
        <v>32</v>
      </c>
      <c r="MB21" s="2">
        <v>166.8</v>
      </c>
      <c r="MC21" s="2">
        <v>166.8</v>
      </c>
      <c r="MD21" s="2" t="s">
        <v>32</v>
      </c>
      <c r="ME21" s="2">
        <v>167.8</v>
      </c>
      <c r="MF21" s="2">
        <v>167.8</v>
      </c>
      <c r="MG21" s="2" t="s">
        <v>32</v>
      </c>
      <c r="MH21" s="2">
        <v>169.0</v>
      </c>
      <c r="MI21" s="2">
        <v>169.0</v>
      </c>
      <c r="MJ21" s="2" t="s">
        <v>32</v>
      </c>
      <c r="MK21" s="2">
        <v>169.5</v>
      </c>
      <c r="ML21" s="2">
        <v>169.5</v>
      </c>
      <c r="MM21" s="2" t="s">
        <v>32</v>
      </c>
      <c r="MN21" s="2">
        <v>171.2</v>
      </c>
      <c r="MO21" s="2">
        <v>171.2</v>
      </c>
      <c r="MP21" s="2" t="s">
        <v>32</v>
      </c>
      <c r="MQ21" s="2">
        <v>171.8</v>
      </c>
      <c r="MR21" s="2">
        <v>171.8</v>
      </c>
      <c r="MS21" s="2" t="s">
        <v>32</v>
      </c>
      <c r="MT21" s="2">
        <v>170.7</v>
      </c>
      <c r="MU21" s="2">
        <v>170.7</v>
      </c>
      <c r="MV21" s="2" t="s">
        <v>32</v>
      </c>
      <c r="MW21" s="2">
        <v>172.1</v>
      </c>
      <c r="MX21" s="2">
        <v>172.1</v>
      </c>
      <c r="MY21" s="2" t="s">
        <v>32</v>
      </c>
      <c r="MZ21" s="2">
        <v>173.5</v>
      </c>
      <c r="NA21" s="2">
        <v>173.5</v>
      </c>
      <c r="NB21" s="2" t="s">
        <v>32</v>
      </c>
      <c r="NC21" s="2">
        <v>173.5</v>
      </c>
      <c r="ND21" s="2">
        <v>173.5</v>
      </c>
      <c r="NE21" s="2" t="s">
        <v>48</v>
      </c>
      <c r="NF21" s="2">
        <v>175.2</v>
      </c>
      <c r="NG21" s="2">
        <v>175.2</v>
      </c>
      <c r="NH21" s="2" t="s">
        <v>48</v>
      </c>
      <c r="NI21" s="2">
        <v>175.6</v>
      </c>
      <c r="NJ21" s="2">
        <v>175.6</v>
      </c>
    </row>
    <row r="22" ht="15.75" customHeight="1">
      <c r="A22" s="2" t="s">
        <v>21</v>
      </c>
      <c r="B22" s="2" t="str">
        <f>VLOOKUP(A22, NOTES!C23:D48, 2,0)</f>
        <v>Clothing and Housing</v>
      </c>
      <c r="C22" s="2">
        <v>105.5</v>
      </c>
      <c r="D22" s="2">
        <v>105.4</v>
      </c>
      <c r="E22" s="2">
        <f>SUMPRODUCT((Sheet3!$MA$1:$NJ$1="Rural+Urban")*(Sheet3!$A$4:$A$13=QUES_3!K23)*Sheet3!$MA$4:$NJ$13)</f>
        <v>0</v>
      </c>
      <c r="F22" s="4">
        <f t="shared" si="1"/>
        <v>0</v>
      </c>
      <c r="G22" s="2">
        <v>105.7</v>
      </c>
      <c r="H22" s="2">
        <v>106.0</v>
      </c>
      <c r="I22" s="2">
        <v>106.1</v>
      </c>
      <c r="J22" s="2">
        <v>106.0</v>
      </c>
      <c r="K22" s="2">
        <v>106.1</v>
      </c>
      <c r="L22" s="2">
        <v>106.5</v>
      </c>
      <c r="M22" s="2">
        <v>106.4</v>
      </c>
      <c r="N22" s="2">
        <v>106.5</v>
      </c>
      <c r="O22" s="2">
        <v>107.5</v>
      </c>
      <c r="P22" s="2">
        <v>107.2</v>
      </c>
      <c r="Q22" s="2">
        <v>107.4</v>
      </c>
      <c r="R22" s="2">
        <v>108.5</v>
      </c>
      <c r="S22" s="2">
        <v>108.0</v>
      </c>
      <c r="T22" s="2">
        <v>108.3</v>
      </c>
      <c r="U22" s="2">
        <v>109.5</v>
      </c>
      <c r="V22" s="2">
        <v>108.6</v>
      </c>
      <c r="W22" s="2">
        <v>109.2</v>
      </c>
      <c r="X22" s="2">
        <v>109.9</v>
      </c>
      <c r="Y22" s="2">
        <v>109.3</v>
      </c>
      <c r="Z22" s="2">
        <v>109.7</v>
      </c>
      <c r="AA22" s="2">
        <v>111.1</v>
      </c>
      <c r="AB22" s="2">
        <v>109.5</v>
      </c>
      <c r="AC22" s="2">
        <v>110.5</v>
      </c>
      <c r="AD22" s="2">
        <v>111.6</v>
      </c>
      <c r="AE22" s="2">
        <v>109.7</v>
      </c>
      <c r="AF22" s="2">
        <v>110.9</v>
      </c>
      <c r="AG22" s="2">
        <v>112.6</v>
      </c>
      <c r="AH22" s="2">
        <v>110.0</v>
      </c>
      <c r="AI22" s="2">
        <v>111.6</v>
      </c>
      <c r="AJ22" s="2">
        <v>112.8</v>
      </c>
      <c r="AK22" s="2">
        <v>110.4</v>
      </c>
      <c r="AL22" s="2">
        <v>111.9</v>
      </c>
      <c r="AM22" s="2">
        <v>113.0</v>
      </c>
      <c r="AN22" s="2">
        <v>111.0</v>
      </c>
      <c r="AO22" s="2">
        <v>112.2</v>
      </c>
      <c r="AP22" s="2">
        <v>113.2</v>
      </c>
      <c r="AQ22" s="2">
        <v>111.1</v>
      </c>
      <c r="AR22" s="2">
        <v>112.4</v>
      </c>
      <c r="AS22" s="2">
        <v>113.4</v>
      </c>
      <c r="AT22" s="2">
        <v>110.9</v>
      </c>
      <c r="AU22" s="2">
        <v>112.5</v>
      </c>
      <c r="AV22" s="2">
        <v>113.4</v>
      </c>
      <c r="AW22" s="2">
        <v>110.9</v>
      </c>
      <c r="AX22" s="2">
        <v>112.5</v>
      </c>
      <c r="AY22" s="2">
        <v>113.4</v>
      </c>
      <c r="AZ22" s="2">
        <v>111.1</v>
      </c>
      <c r="BA22" s="2">
        <v>112.5</v>
      </c>
      <c r="BB22" s="2">
        <v>114.4</v>
      </c>
      <c r="BC22" s="2">
        <v>111.2</v>
      </c>
      <c r="BD22" s="2">
        <v>113.2</v>
      </c>
      <c r="BE22" s="2">
        <v>115.3</v>
      </c>
      <c r="BF22" s="2">
        <v>111.6</v>
      </c>
      <c r="BG22" s="2">
        <v>113.9</v>
      </c>
      <c r="BH22" s="2">
        <v>115.4</v>
      </c>
      <c r="BI22" s="2">
        <v>111.8</v>
      </c>
      <c r="BJ22" s="2">
        <v>114.0</v>
      </c>
      <c r="BK22" s="2">
        <v>115.8</v>
      </c>
      <c r="BL22" s="2">
        <v>111.8</v>
      </c>
      <c r="BM22" s="2">
        <v>114.3</v>
      </c>
      <c r="BN22" s="2">
        <v>116.4</v>
      </c>
      <c r="BO22" s="2">
        <v>112.0</v>
      </c>
      <c r="BP22" s="2">
        <v>114.7</v>
      </c>
      <c r="BQ22" s="2">
        <v>117.3</v>
      </c>
      <c r="BR22" s="2">
        <v>112.6</v>
      </c>
      <c r="BS22" s="2">
        <v>115.5</v>
      </c>
      <c r="BT22" s="2">
        <v>117.4</v>
      </c>
      <c r="BU22" s="2">
        <v>113.0</v>
      </c>
      <c r="BV22" s="2">
        <v>115.7</v>
      </c>
      <c r="BW22" s="2">
        <v>118.4</v>
      </c>
      <c r="BX22" s="2">
        <v>113.4</v>
      </c>
      <c r="BY22" s="2">
        <v>116.5</v>
      </c>
      <c r="BZ22" s="2">
        <v>120.0</v>
      </c>
      <c r="CA22" s="2">
        <v>114.0</v>
      </c>
      <c r="CB22" s="2">
        <v>117.7</v>
      </c>
      <c r="CC22" s="2">
        <v>120.6</v>
      </c>
      <c r="CD22" s="2">
        <v>114.4</v>
      </c>
      <c r="CE22" s="2">
        <v>118.3</v>
      </c>
      <c r="CF22" s="2">
        <v>121.2</v>
      </c>
      <c r="CG22" s="2">
        <v>114.7</v>
      </c>
      <c r="CH22" s="2">
        <v>118.7</v>
      </c>
      <c r="CI22" s="2">
        <v>121.9</v>
      </c>
      <c r="CJ22" s="2">
        <v>114.9</v>
      </c>
      <c r="CK22" s="2">
        <v>119.2</v>
      </c>
      <c r="CL22" s="2">
        <v>122.6</v>
      </c>
      <c r="CM22" s="2">
        <v>115.1</v>
      </c>
      <c r="CN22" s="2">
        <v>119.8</v>
      </c>
      <c r="CO22" s="2">
        <v>123.0</v>
      </c>
      <c r="CP22" s="2">
        <v>115.3</v>
      </c>
      <c r="CQ22" s="2">
        <v>120.1</v>
      </c>
      <c r="CR22" s="2">
        <v>123.8</v>
      </c>
      <c r="CS22" s="2">
        <v>115.3</v>
      </c>
      <c r="CT22" s="2">
        <v>120.6</v>
      </c>
      <c r="CU22" s="2">
        <v>123.7</v>
      </c>
      <c r="CV22" s="2">
        <v>115.1</v>
      </c>
      <c r="CW22" s="2">
        <v>120.4</v>
      </c>
      <c r="CX22" s="2">
        <v>124.4</v>
      </c>
      <c r="CY22" s="2">
        <v>114.9</v>
      </c>
      <c r="CZ22" s="2">
        <v>120.8</v>
      </c>
      <c r="DA22" s="2">
        <v>125.6</v>
      </c>
      <c r="DB22" s="2">
        <v>115.1</v>
      </c>
      <c r="DC22" s="2">
        <v>121.6</v>
      </c>
      <c r="DD22" s="2">
        <v>125.7</v>
      </c>
      <c r="DE22" s="2">
        <v>116.0</v>
      </c>
      <c r="DF22" s="2">
        <v>122.0</v>
      </c>
      <c r="DG22" s="2">
        <v>126.2</v>
      </c>
      <c r="DH22" s="2">
        <v>116.9</v>
      </c>
      <c r="DI22" s="2">
        <v>122.7</v>
      </c>
      <c r="DJ22" s="2">
        <v>127.5</v>
      </c>
      <c r="DK22" s="2">
        <v>116.0</v>
      </c>
      <c r="DL22" s="2">
        <v>123.1</v>
      </c>
      <c r="DM22" s="2">
        <v>127.0</v>
      </c>
      <c r="DN22" s="2">
        <v>114.8</v>
      </c>
      <c r="DO22" s="2">
        <v>122.4</v>
      </c>
      <c r="DP22" s="2">
        <v>127.0</v>
      </c>
      <c r="DQ22" s="2">
        <v>114.6</v>
      </c>
      <c r="DR22" s="2">
        <v>122.3</v>
      </c>
      <c r="DS22" s="2">
        <v>127.4</v>
      </c>
      <c r="DT22" s="2">
        <v>115.0</v>
      </c>
      <c r="DU22" s="2">
        <v>122.7</v>
      </c>
      <c r="DV22" s="2">
        <v>128.0</v>
      </c>
      <c r="DW22" s="2">
        <v>115.5</v>
      </c>
      <c r="DX22" s="2">
        <v>123.3</v>
      </c>
      <c r="DY22" s="2">
        <v>128.2</v>
      </c>
      <c r="DZ22" s="2">
        <v>115.5</v>
      </c>
      <c r="EA22" s="2">
        <v>123.4</v>
      </c>
      <c r="EB22" s="2">
        <v>129.1</v>
      </c>
      <c r="EC22" s="2">
        <v>114.7</v>
      </c>
      <c r="ED22" s="2">
        <v>123.6</v>
      </c>
      <c r="EE22" s="2">
        <v>129.7</v>
      </c>
      <c r="EF22" s="2">
        <v>114.8</v>
      </c>
      <c r="EG22" s="2">
        <v>124.1</v>
      </c>
      <c r="EH22" s="2">
        <v>129.8</v>
      </c>
      <c r="EI22" s="2">
        <v>115.2</v>
      </c>
      <c r="EJ22" s="2">
        <v>124.3</v>
      </c>
      <c r="EK22" s="2">
        <v>130.3</v>
      </c>
      <c r="EL22" s="2">
        <v>116.2</v>
      </c>
      <c r="EM22" s="2">
        <v>125.0</v>
      </c>
      <c r="EN22" s="2">
        <v>132.0</v>
      </c>
      <c r="EO22" s="2">
        <v>117.8</v>
      </c>
      <c r="EP22" s="2">
        <v>126.6</v>
      </c>
      <c r="EQ22" s="2">
        <v>132.1</v>
      </c>
      <c r="ER22" s="2">
        <v>118.0</v>
      </c>
      <c r="ES22" s="2">
        <v>126.8</v>
      </c>
      <c r="ET22" s="2">
        <v>133.2</v>
      </c>
      <c r="EU22" s="2">
        <v>119.2</v>
      </c>
      <c r="EV22" s="2">
        <v>127.9</v>
      </c>
      <c r="EW22" s="2">
        <v>134.2</v>
      </c>
      <c r="EX22" s="2">
        <v>120.8</v>
      </c>
      <c r="EY22" s="2">
        <v>129.1</v>
      </c>
      <c r="EZ22" s="2">
        <v>135.0</v>
      </c>
      <c r="FA22" s="2">
        <v>121.4</v>
      </c>
      <c r="FB22" s="2">
        <v>129.8</v>
      </c>
      <c r="FC22" s="2">
        <v>135.0</v>
      </c>
      <c r="FD22" s="2">
        <v>120.1</v>
      </c>
      <c r="FE22" s="2">
        <v>129.4</v>
      </c>
      <c r="FF22" s="2">
        <v>134.8</v>
      </c>
      <c r="FG22" s="2">
        <v>119.0</v>
      </c>
      <c r="FH22" s="2">
        <v>128.8</v>
      </c>
      <c r="FI22" s="2">
        <v>135.3</v>
      </c>
      <c r="FJ22" s="2">
        <v>119.7</v>
      </c>
      <c r="FK22" s="2">
        <v>129.4</v>
      </c>
      <c r="FL22" s="2">
        <v>136.4</v>
      </c>
      <c r="FM22" s="2">
        <v>118.9</v>
      </c>
      <c r="FN22" s="2">
        <v>129.8</v>
      </c>
      <c r="FO22" s="2">
        <v>137.4</v>
      </c>
      <c r="FP22" s="2">
        <v>120.6</v>
      </c>
      <c r="FQ22" s="2">
        <v>131.0</v>
      </c>
      <c r="FR22" s="2">
        <v>138.1</v>
      </c>
      <c r="FS22" s="2">
        <v>122.6</v>
      </c>
      <c r="FT22" s="2">
        <v>132.2</v>
      </c>
      <c r="FU22" s="2">
        <v>141.1</v>
      </c>
      <c r="FV22" s="2">
        <v>125.7</v>
      </c>
      <c r="FW22" s="2">
        <v>135.3</v>
      </c>
      <c r="FX22" s="2">
        <v>142.6</v>
      </c>
      <c r="FY22" s="2">
        <v>126.8</v>
      </c>
      <c r="FZ22" s="2">
        <v>136.6</v>
      </c>
      <c r="GA22" s="2">
        <v>142.3</v>
      </c>
      <c r="GB22" s="2">
        <v>127.3</v>
      </c>
      <c r="GC22" s="2">
        <v>136.6</v>
      </c>
      <c r="GD22" s="2">
        <v>142.4</v>
      </c>
      <c r="GE22" s="2">
        <v>127.3</v>
      </c>
      <c r="GF22" s="2">
        <v>136.7</v>
      </c>
      <c r="GG22" s="2">
        <v>142.6</v>
      </c>
      <c r="GH22" s="2">
        <v>126.4</v>
      </c>
      <c r="GI22" s="2">
        <v>136.5</v>
      </c>
      <c r="GJ22" s="2">
        <v>143.8</v>
      </c>
      <c r="GK22" s="2">
        <v>124.6</v>
      </c>
      <c r="GL22" s="2">
        <v>136.5</v>
      </c>
      <c r="GM22" s="2">
        <v>144.3</v>
      </c>
      <c r="GN22" s="2">
        <v>124.7</v>
      </c>
      <c r="GO22" s="2">
        <v>136.9</v>
      </c>
      <c r="GP22" s="2">
        <v>145.1</v>
      </c>
      <c r="GQ22" s="2">
        <v>126.5</v>
      </c>
      <c r="GR22" s="2">
        <v>138.1</v>
      </c>
      <c r="GS22" s="2">
        <v>146.8</v>
      </c>
      <c r="GT22" s="2">
        <v>128.1</v>
      </c>
      <c r="GU22" s="2">
        <v>139.7</v>
      </c>
      <c r="GV22" s="2">
        <v>147.7</v>
      </c>
      <c r="GW22" s="2">
        <v>129.8</v>
      </c>
      <c r="GX22" s="2">
        <v>140.9</v>
      </c>
      <c r="GY22" s="2">
        <v>149.0</v>
      </c>
      <c r="GZ22" s="2">
        <v>131.2</v>
      </c>
      <c r="HA22" s="2">
        <v>142.3</v>
      </c>
      <c r="HB22" s="2">
        <v>149.7</v>
      </c>
      <c r="HC22" s="2">
        <v>133.4</v>
      </c>
      <c r="HD22" s="2">
        <v>145.3</v>
      </c>
      <c r="HE22" s="2">
        <v>150.3</v>
      </c>
      <c r="HF22" s="2">
        <v>136.7</v>
      </c>
      <c r="HG22" s="2">
        <v>145.1</v>
      </c>
      <c r="HH22" s="2">
        <v>149.0</v>
      </c>
      <c r="HI22" s="2">
        <v>132.4</v>
      </c>
      <c r="HJ22" s="2">
        <v>142.7</v>
      </c>
      <c r="HK22" s="2">
        <v>146.2</v>
      </c>
      <c r="HL22" s="2">
        <v>128.6</v>
      </c>
      <c r="HM22" s="2">
        <v>139.5</v>
      </c>
      <c r="HN22" s="2">
        <v>145.3</v>
      </c>
      <c r="HO22" s="2">
        <v>127.1</v>
      </c>
      <c r="HP22" s="2">
        <v>138.4</v>
      </c>
      <c r="HQ22" s="2">
        <v>146.4</v>
      </c>
      <c r="HR22" s="2">
        <v>128.8</v>
      </c>
      <c r="HS22" s="2">
        <v>139.7</v>
      </c>
      <c r="HT22" s="2">
        <v>146.9</v>
      </c>
      <c r="HU22" s="2">
        <v>129.4</v>
      </c>
      <c r="HV22" s="2">
        <v>140.3</v>
      </c>
      <c r="HW22" s="2">
        <v>147.8</v>
      </c>
      <c r="HX22" s="2">
        <v>130.5</v>
      </c>
      <c r="HY22" s="2">
        <v>141.2</v>
      </c>
      <c r="HZ22" s="2">
        <v>146.8</v>
      </c>
      <c r="IA22" s="2">
        <v>127.0</v>
      </c>
      <c r="IB22" s="2">
        <v>139.3</v>
      </c>
      <c r="IC22" s="2">
        <v>146.4</v>
      </c>
      <c r="ID22" s="2">
        <v>125.5</v>
      </c>
      <c r="IE22" s="2">
        <v>138.5</v>
      </c>
      <c r="IF22" s="2">
        <v>146.9</v>
      </c>
      <c r="IG22" s="2">
        <v>126.6</v>
      </c>
      <c r="IH22" s="2">
        <v>139.2</v>
      </c>
      <c r="II22" s="2">
        <v>147.7</v>
      </c>
      <c r="IJ22" s="2">
        <v>128.9</v>
      </c>
      <c r="IK22" s="2">
        <v>140.6</v>
      </c>
      <c r="IL22" s="2">
        <v>148.4</v>
      </c>
      <c r="IM22" s="2">
        <v>132.2</v>
      </c>
      <c r="IN22" s="2">
        <v>142.3</v>
      </c>
      <c r="IO22" s="2">
        <v>149.9</v>
      </c>
      <c r="IP22" s="2">
        <v>133.6</v>
      </c>
      <c r="IQ22" s="2">
        <v>143.7</v>
      </c>
      <c r="IR22" s="2">
        <v>150.4</v>
      </c>
      <c r="IS22" s="2">
        <v>135.1</v>
      </c>
      <c r="IT22" s="2">
        <v>144.6</v>
      </c>
      <c r="IU22" s="2">
        <v>152.3</v>
      </c>
      <c r="IV22" s="2">
        <v>138.9</v>
      </c>
      <c r="IW22" s="2">
        <v>147.2</v>
      </c>
      <c r="IX22" s="2">
        <v>153.4</v>
      </c>
      <c r="IY22" s="2">
        <v>141.4</v>
      </c>
      <c r="IZ22" s="2">
        <v>148.9</v>
      </c>
      <c r="JA22" s="2">
        <v>148.4</v>
      </c>
      <c r="JB22" s="2">
        <v>137.1</v>
      </c>
      <c r="JC22" s="2">
        <v>144.1</v>
      </c>
      <c r="JD22" s="2" t="s">
        <v>32</v>
      </c>
      <c r="JE22" s="2" t="s">
        <v>32</v>
      </c>
      <c r="JF22" s="2" t="s">
        <v>32</v>
      </c>
      <c r="JG22" s="2">
        <v>144.9</v>
      </c>
      <c r="JH22" s="2">
        <v>137.1</v>
      </c>
      <c r="JI22" s="2">
        <v>141.9</v>
      </c>
      <c r="JJ22" s="2">
        <v>144.9</v>
      </c>
      <c r="JK22" s="2">
        <v>137.1</v>
      </c>
      <c r="JL22" s="2">
        <v>141.9</v>
      </c>
      <c r="JM22" s="2">
        <v>145.8</v>
      </c>
      <c r="JN22" s="2">
        <v>138.3</v>
      </c>
      <c r="JO22" s="2">
        <v>143.0</v>
      </c>
      <c r="JP22" s="2">
        <v>146.4</v>
      </c>
      <c r="JQ22" s="2">
        <v>137.2</v>
      </c>
      <c r="JR22" s="2">
        <v>142.9</v>
      </c>
      <c r="JS22" s="2">
        <v>146.8</v>
      </c>
      <c r="JT22" s="2">
        <v>137.1</v>
      </c>
      <c r="JU22" s="2">
        <v>143.1</v>
      </c>
      <c r="JV22" s="2">
        <v>147.5</v>
      </c>
      <c r="JW22" s="2">
        <v>137.3</v>
      </c>
      <c r="JX22" s="2">
        <v>143.6</v>
      </c>
      <c r="JY22" s="2">
        <v>148.7</v>
      </c>
      <c r="JZ22" s="2">
        <v>137.9</v>
      </c>
      <c r="KA22" s="2">
        <v>144.6</v>
      </c>
      <c r="KB22" s="2">
        <v>150.9</v>
      </c>
      <c r="KC22" s="2">
        <v>142.9</v>
      </c>
      <c r="KD22" s="2">
        <v>147.9</v>
      </c>
      <c r="KE22" s="2">
        <v>154.4</v>
      </c>
      <c r="KF22" s="2">
        <v>149.1</v>
      </c>
      <c r="KG22" s="2">
        <v>152.4</v>
      </c>
      <c r="KH22" s="2">
        <v>156.0</v>
      </c>
      <c r="KI22" s="2">
        <v>154.8</v>
      </c>
      <c r="KJ22" s="2">
        <v>155.5</v>
      </c>
      <c r="KK22" s="2">
        <v>156.0</v>
      </c>
      <c r="KL22" s="2">
        <v>154.9</v>
      </c>
      <c r="KM22" s="2">
        <v>155.6</v>
      </c>
      <c r="KN22" s="2">
        <v>161.7</v>
      </c>
      <c r="KO22" s="2">
        <v>155.5</v>
      </c>
      <c r="KP22" s="2">
        <v>159.4</v>
      </c>
      <c r="KQ22" s="2">
        <v>162.1</v>
      </c>
      <c r="KR22" s="2">
        <v>156.1</v>
      </c>
      <c r="KS22" s="2">
        <v>159.8</v>
      </c>
      <c r="KT22" s="2">
        <v>162.5</v>
      </c>
      <c r="KU22" s="2">
        <v>157.7</v>
      </c>
      <c r="KV22" s="2">
        <v>160.7</v>
      </c>
      <c r="KW22" s="2">
        <v>163.1</v>
      </c>
      <c r="KX22" s="2">
        <v>160.7</v>
      </c>
      <c r="KY22" s="2">
        <v>162.6</v>
      </c>
      <c r="KZ22" s="2">
        <v>163.7</v>
      </c>
      <c r="LA22" s="2">
        <v>160.8</v>
      </c>
      <c r="LB22" s="2">
        <v>162.6</v>
      </c>
      <c r="LC22" s="2">
        <v>165.5</v>
      </c>
      <c r="LD22" s="2">
        <v>162.2</v>
      </c>
      <c r="LE22" s="2">
        <v>164.2</v>
      </c>
      <c r="LF22" s="2">
        <v>165.3</v>
      </c>
      <c r="LG22" s="2">
        <v>161.6</v>
      </c>
      <c r="LH22" s="2">
        <v>163.9</v>
      </c>
      <c r="LI22" s="2">
        <v>165.6</v>
      </c>
      <c r="LJ22" s="2">
        <v>161.7</v>
      </c>
      <c r="LK22" s="2">
        <v>164.1</v>
      </c>
      <c r="LL22" s="2">
        <v>165.8</v>
      </c>
      <c r="LM22" s="2">
        <v>161.6</v>
      </c>
      <c r="LN22" s="2">
        <v>164.2</v>
      </c>
      <c r="LO22" s="2">
        <v>167.4</v>
      </c>
      <c r="LP22" s="2">
        <v>163.0</v>
      </c>
      <c r="LQ22" s="2">
        <v>165.7</v>
      </c>
      <c r="LR22" s="2">
        <v>168.9</v>
      </c>
      <c r="LS22" s="2">
        <v>164.5</v>
      </c>
      <c r="LT22" s="2">
        <v>167.2</v>
      </c>
      <c r="LU22" s="2">
        <v>173.3</v>
      </c>
      <c r="LV22" s="2">
        <v>170.5</v>
      </c>
      <c r="LW22" s="2">
        <v>172.2</v>
      </c>
      <c r="LX22" s="2">
        <v>175.3</v>
      </c>
      <c r="LY22" s="2">
        <v>173.5</v>
      </c>
      <c r="LZ22" s="2">
        <v>174.6</v>
      </c>
      <c r="MA22" s="2">
        <v>176.7</v>
      </c>
      <c r="MB22" s="2">
        <v>174.9</v>
      </c>
      <c r="MC22" s="2">
        <v>176.0</v>
      </c>
      <c r="MD22" s="2">
        <v>179.6</v>
      </c>
      <c r="ME22" s="2">
        <v>179.5</v>
      </c>
      <c r="MF22" s="2">
        <v>179.6</v>
      </c>
      <c r="MG22" s="2">
        <v>179.1</v>
      </c>
      <c r="MH22" s="2">
        <v>178.4</v>
      </c>
      <c r="MI22" s="2">
        <v>178.8</v>
      </c>
      <c r="MJ22" s="2">
        <v>179.7</v>
      </c>
      <c r="MK22" s="2">
        <v>179.2</v>
      </c>
      <c r="ML22" s="2">
        <v>179.5</v>
      </c>
      <c r="MM22" s="2">
        <v>180.8</v>
      </c>
      <c r="MN22" s="2">
        <v>180.0</v>
      </c>
      <c r="MO22" s="2">
        <v>180.5</v>
      </c>
      <c r="MP22" s="2">
        <v>181.9</v>
      </c>
      <c r="MQ22" s="2">
        <v>180.3</v>
      </c>
      <c r="MR22" s="2">
        <v>181.3</v>
      </c>
      <c r="MS22" s="2">
        <v>182.8</v>
      </c>
      <c r="MT22" s="2">
        <v>180.6</v>
      </c>
      <c r="MU22" s="2">
        <v>182.0</v>
      </c>
      <c r="MV22" s="2">
        <v>183.2</v>
      </c>
      <c r="MW22" s="2">
        <v>180.1</v>
      </c>
      <c r="MX22" s="2">
        <v>182.0</v>
      </c>
      <c r="MY22" s="2">
        <v>181.6</v>
      </c>
      <c r="MZ22" s="2">
        <v>182.8</v>
      </c>
      <c r="NA22" s="2">
        <v>182.1</v>
      </c>
      <c r="NB22" s="2">
        <v>181.4</v>
      </c>
      <c r="NC22" s="2">
        <v>182.6</v>
      </c>
      <c r="ND22" s="2">
        <v>181.9</v>
      </c>
      <c r="NE22" s="2">
        <v>181.5</v>
      </c>
      <c r="NF22" s="2">
        <v>182.1</v>
      </c>
      <c r="NG22" s="2">
        <v>181.7</v>
      </c>
      <c r="NH22" s="2">
        <v>182.5</v>
      </c>
      <c r="NI22" s="2">
        <v>183.4</v>
      </c>
      <c r="NJ22" s="2">
        <v>182.8</v>
      </c>
    </row>
    <row r="23" ht="15.75" customHeight="1">
      <c r="A23" s="2" t="s">
        <v>22</v>
      </c>
      <c r="B23" s="2" t="str">
        <f>VLOOKUP(A23, NOTES!C24:D49, 2,0)</f>
        <v>Goods, Services and Transport</v>
      </c>
      <c r="C23" s="2">
        <v>104.8</v>
      </c>
      <c r="D23" s="2">
        <v>104.8</v>
      </c>
      <c r="E23" s="2">
        <f>SUMPRODUCT((Sheet3!$MA$1:$NJ$1="Rural+Urban")*(Sheet3!$A$4:$A$13=QUES_3!K24)*Sheet3!$MA$4:$NJ$13)</f>
        <v>2115.1</v>
      </c>
      <c r="F23" s="4">
        <f t="shared" si="1"/>
        <v>0.2453171575</v>
      </c>
      <c r="G23" s="2">
        <v>105.2</v>
      </c>
      <c r="H23" s="2">
        <v>105.2</v>
      </c>
      <c r="I23" s="2">
        <v>105.6</v>
      </c>
      <c r="J23" s="2">
        <v>105.7</v>
      </c>
      <c r="K23" s="2">
        <v>105.6</v>
      </c>
      <c r="L23" s="2">
        <v>106.1</v>
      </c>
      <c r="M23" s="2">
        <v>106.5</v>
      </c>
      <c r="N23" s="2">
        <v>106.3</v>
      </c>
      <c r="O23" s="2">
        <v>106.8</v>
      </c>
      <c r="P23" s="2">
        <v>107.1</v>
      </c>
      <c r="Q23" s="2">
        <v>106.9</v>
      </c>
      <c r="R23" s="2">
        <v>107.5</v>
      </c>
      <c r="S23" s="2">
        <v>107.7</v>
      </c>
      <c r="T23" s="2">
        <v>107.6</v>
      </c>
      <c r="U23" s="2">
        <v>108.3</v>
      </c>
      <c r="V23" s="2">
        <v>108.1</v>
      </c>
      <c r="W23" s="2">
        <v>108.2</v>
      </c>
      <c r="X23" s="2">
        <v>108.7</v>
      </c>
      <c r="Y23" s="2">
        <v>108.7</v>
      </c>
      <c r="Z23" s="2">
        <v>108.7</v>
      </c>
      <c r="AA23" s="2">
        <v>109.6</v>
      </c>
      <c r="AB23" s="2">
        <v>109.6</v>
      </c>
      <c r="AC23" s="2">
        <v>109.6</v>
      </c>
      <c r="AD23" s="2">
        <v>110.4</v>
      </c>
      <c r="AE23" s="2">
        <v>110.2</v>
      </c>
      <c r="AF23" s="2">
        <v>110.3</v>
      </c>
      <c r="AG23" s="2">
        <v>111.3</v>
      </c>
      <c r="AH23" s="2">
        <v>110.9</v>
      </c>
      <c r="AI23" s="2">
        <v>111.1</v>
      </c>
      <c r="AJ23" s="2">
        <v>112.1</v>
      </c>
      <c r="AK23" s="2">
        <v>111.3</v>
      </c>
      <c r="AL23" s="2">
        <v>111.7</v>
      </c>
      <c r="AM23" s="2">
        <v>112.6</v>
      </c>
      <c r="AN23" s="2">
        <v>111.9</v>
      </c>
      <c r="AO23" s="2">
        <v>112.3</v>
      </c>
      <c r="AP23" s="2">
        <v>112.9</v>
      </c>
      <c r="AQ23" s="2">
        <v>112.6</v>
      </c>
      <c r="AR23" s="2">
        <v>112.8</v>
      </c>
      <c r="AS23" s="2">
        <v>113.4</v>
      </c>
      <c r="AT23" s="2">
        <v>113.0</v>
      </c>
      <c r="AU23" s="2">
        <v>113.2</v>
      </c>
      <c r="AV23" s="2">
        <v>113.7</v>
      </c>
      <c r="AW23" s="2">
        <v>113.4</v>
      </c>
      <c r="AX23" s="2">
        <v>113.6</v>
      </c>
      <c r="AY23" s="2">
        <v>114.1</v>
      </c>
      <c r="AZ23" s="2">
        <v>114.1</v>
      </c>
      <c r="BA23" s="2">
        <v>114.1</v>
      </c>
      <c r="BB23" s="2">
        <v>114.9</v>
      </c>
      <c r="BC23" s="2">
        <v>114.3</v>
      </c>
      <c r="BD23" s="2">
        <v>114.6</v>
      </c>
      <c r="BE23" s="2">
        <v>115.4</v>
      </c>
      <c r="BF23" s="2">
        <v>114.9</v>
      </c>
      <c r="BG23" s="2">
        <v>115.2</v>
      </c>
      <c r="BH23" s="2">
        <v>115.9</v>
      </c>
      <c r="BI23" s="2">
        <v>115.3</v>
      </c>
      <c r="BJ23" s="2">
        <v>115.6</v>
      </c>
      <c r="BK23" s="2">
        <v>116.7</v>
      </c>
      <c r="BL23" s="2">
        <v>115.5</v>
      </c>
      <c r="BM23" s="2">
        <v>116.1</v>
      </c>
      <c r="BN23" s="2">
        <v>117.5</v>
      </c>
      <c r="BO23" s="2">
        <v>115.8</v>
      </c>
      <c r="BP23" s="2">
        <v>116.7</v>
      </c>
      <c r="BQ23" s="2">
        <v>118.1</v>
      </c>
      <c r="BR23" s="2">
        <v>116.4</v>
      </c>
      <c r="BS23" s="2">
        <v>117.3</v>
      </c>
      <c r="BT23" s="2">
        <v>118.2</v>
      </c>
      <c r="BU23" s="2">
        <v>116.8</v>
      </c>
      <c r="BV23" s="2">
        <v>117.5</v>
      </c>
      <c r="BW23" s="2">
        <v>118.9</v>
      </c>
      <c r="BX23" s="2">
        <v>117.2</v>
      </c>
      <c r="BY23" s="2">
        <v>118.1</v>
      </c>
      <c r="BZ23" s="2">
        <v>119.6</v>
      </c>
      <c r="CA23" s="2">
        <v>117.7</v>
      </c>
      <c r="CB23" s="2">
        <v>118.7</v>
      </c>
      <c r="CC23" s="2">
        <v>120.2</v>
      </c>
      <c r="CD23" s="2">
        <v>118.0</v>
      </c>
      <c r="CE23" s="2">
        <v>119.2</v>
      </c>
      <c r="CF23" s="2">
        <v>120.9</v>
      </c>
      <c r="CG23" s="2">
        <v>118.4</v>
      </c>
      <c r="CH23" s="2">
        <v>119.7</v>
      </c>
      <c r="CI23" s="2">
        <v>121.5</v>
      </c>
      <c r="CJ23" s="2">
        <v>118.7</v>
      </c>
      <c r="CK23" s="2">
        <v>120.2</v>
      </c>
      <c r="CL23" s="2">
        <v>122.8</v>
      </c>
      <c r="CM23" s="2">
        <v>119.2</v>
      </c>
      <c r="CN23" s="2">
        <v>121.1</v>
      </c>
      <c r="CO23" s="2">
        <v>123.0</v>
      </c>
      <c r="CP23" s="2">
        <v>119.5</v>
      </c>
      <c r="CQ23" s="2">
        <v>121.3</v>
      </c>
      <c r="CR23" s="2">
        <v>123.7</v>
      </c>
      <c r="CS23" s="2">
        <v>120.0</v>
      </c>
      <c r="CT23" s="2">
        <v>122.0</v>
      </c>
      <c r="CU23" s="2">
        <v>124.5</v>
      </c>
      <c r="CV23" s="2">
        <v>120.4</v>
      </c>
      <c r="CW23" s="2">
        <v>122.6</v>
      </c>
      <c r="CX23" s="2">
        <v>125.1</v>
      </c>
      <c r="CY23" s="2">
        <v>120.7</v>
      </c>
      <c r="CZ23" s="2">
        <v>123.0</v>
      </c>
      <c r="DA23" s="2">
        <v>125.6</v>
      </c>
      <c r="DB23" s="2">
        <v>121.0</v>
      </c>
      <c r="DC23" s="2">
        <v>123.4</v>
      </c>
      <c r="DD23" s="2">
        <v>126.0</v>
      </c>
      <c r="DE23" s="2">
        <v>121.0</v>
      </c>
      <c r="DF23" s="2">
        <v>123.6</v>
      </c>
      <c r="DG23" s="2">
        <v>126.6</v>
      </c>
      <c r="DH23" s="2">
        <v>121.6</v>
      </c>
      <c r="DI23" s="2">
        <v>124.2</v>
      </c>
      <c r="DJ23" s="2">
        <v>127.1</v>
      </c>
      <c r="DK23" s="2">
        <v>121.8</v>
      </c>
      <c r="DL23" s="2">
        <v>124.6</v>
      </c>
      <c r="DM23" s="2">
        <v>127.7</v>
      </c>
      <c r="DN23" s="2">
        <v>122.3</v>
      </c>
      <c r="DO23" s="2">
        <v>125.1</v>
      </c>
      <c r="DP23" s="2">
        <v>128.0</v>
      </c>
      <c r="DQ23" s="2">
        <v>122.8</v>
      </c>
      <c r="DR23" s="2">
        <v>125.5</v>
      </c>
      <c r="DS23" s="2">
        <v>128.5</v>
      </c>
      <c r="DT23" s="2">
        <v>123.2</v>
      </c>
      <c r="DU23" s="2">
        <v>126.0</v>
      </c>
      <c r="DV23" s="2">
        <v>129.3</v>
      </c>
      <c r="DW23" s="2">
        <v>123.2</v>
      </c>
      <c r="DX23" s="2">
        <v>126.4</v>
      </c>
      <c r="DY23" s="2">
        <v>130.0</v>
      </c>
      <c r="DZ23" s="2">
        <v>123.5</v>
      </c>
      <c r="EA23" s="2">
        <v>126.9</v>
      </c>
      <c r="EB23" s="2">
        <v>130.6</v>
      </c>
      <c r="EC23" s="2">
        <v>123.9</v>
      </c>
      <c r="ED23" s="2">
        <v>127.4</v>
      </c>
      <c r="EE23" s="2">
        <v>131.1</v>
      </c>
      <c r="EF23" s="2">
        <v>124.3</v>
      </c>
      <c r="EG23" s="2">
        <v>127.9</v>
      </c>
      <c r="EH23" s="2">
        <v>131.8</v>
      </c>
      <c r="EI23" s="2">
        <v>124.5</v>
      </c>
      <c r="EJ23" s="2">
        <v>128.4</v>
      </c>
      <c r="EK23" s="2">
        <v>132.1</v>
      </c>
      <c r="EL23" s="2">
        <v>124.7</v>
      </c>
      <c r="EM23" s="2">
        <v>128.6</v>
      </c>
      <c r="EN23" s="2">
        <v>132.9</v>
      </c>
      <c r="EO23" s="2">
        <v>125.0</v>
      </c>
      <c r="EP23" s="2">
        <v>129.2</v>
      </c>
      <c r="EQ23" s="2">
        <v>133.2</v>
      </c>
      <c r="ER23" s="2">
        <v>125.1</v>
      </c>
      <c r="ES23" s="2">
        <v>129.4</v>
      </c>
      <c r="ET23" s="2">
        <v>133.6</v>
      </c>
      <c r="EU23" s="2">
        <v>125.3</v>
      </c>
      <c r="EV23" s="2">
        <v>129.7</v>
      </c>
      <c r="EW23" s="2">
        <v>134.1</v>
      </c>
      <c r="EX23" s="2">
        <v>125.6</v>
      </c>
      <c r="EY23" s="2">
        <v>130.1</v>
      </c>
      <c r="EZ23" s="2">
        <v>134.3</v>
      </c>
      <c r="FA23" s="2">
        <v>126.0</v>
      </c>
      <c r="FB23" s="2">
        <v>130.4</v>
      </c>
      <c r="FC23" s="2">
        <v>134.9</v>
      </c>
      <c r="FD23" s="2">
        <v>126.5</v>
      </c>
      <c r="FE23" s="2">
        <v>130.9</v>
      </c>
      <c r="FF23" s="2">
        <v>135.2</v>
      </c>
      <c r="FG23" s="2">
        <v>126.8</v>
      </c>
      <c r="FH23" s="2">
        <v>131.2</v>
      </c>
      <c r="FI23" s="2">
        <v>136.1</v>
      </c>
      <c r="FJ23" s="2">
        <v>127.2</v>
      </c>
      <c r="FK23" s="2">
        <v>131.9</v>
      </c>
      <c r="FL23" s="2">
        <v>137.3</v>
      </c>
      <c r="FM23" s="2">
        <v>127.7</v>
      </c>
      <c r="FN23" s="2">
        <v>132.8</v>
      </c>
      <c r="FO23" s="2">
        <v>137.9</v>
      </c>
      <c r="FP23" s="2">
        <v>128.1</v>
      </c>
      <c r="FQ23" s="2">
        <v>133.3</v>
      </c>
      <c r="FR23" s="2">
        <v>138.4</v>
      </c>
      <c r="FS23" s="2">
        <v>128.3</v>
      </c>
      <c r="FT23" s="2">
        <v>133.6</v>
      </c>
      <c r="FU23" s="2">
        <v>139.4</v>
      </c>
      <c r="FV23" s="2">
        <v>128.8</v>
      </c>
      <c r="FW23" s="2">
        <v>134.4</v>
      </c>
      <c r="FX23" s="2">
        <v>139.5</v>
      </c>
      <c r="FY23" s="2">
        <v>129.3</v>
      </c>
      <c r="FZ23" s="2">
        <v>134.7</v>
      </c>
      <c r="GA23" s="2">
        <v>139.8</v>
      </c>
      <c r="GB23" s="2">
        <v>129.5</v>
      </c>
      <c r="GC23" s="2">
        <v>134.9</v>
      </c>
      <c r="GD23" s="2">
        <v>139.9</v>
      </c>
      <c r="GE23" s="2">
        <v>129.9</v>
      </c>
      <c r="GF23" s="2">
        <v>135.2</v>
      </c>
      <c r="GG23" s="2">
        <v>139.9</v>
      </c>
      <c r="GH23" s="2">
        <v>130.8</v>
      </c>
      <c r="GI23" s="2">
        <v>135.6</v>
      </c>
      <c r="GJ23" s="2">
        <v>140.9</v>
      </c>
      <c r="GK23" s="2">
        <v>131.8</v>
      </c>
      <c r="GL23" s="2">
        <v>136.6</v>
      </c>
      <c r="GM23" s="2">
        <v>141.8</v>
      </c>
      <c r="GN23" s="2">
        <v>132.5</v>
      </c>
      <c r="GO23" s="2">
        <v>137.4</v>
      </c>
      <c r="GP23" s="2">
        <v>142.2</v>
      </c>
      <c r="GQ23" s="2">
        <v>133.1</v>
      </c>
      <c r="GR23" s="2">
        <v>137.9</v>
      </c>
      <c r="GS23" s="2">
        <v>143.1</v>
      </c>
      <c r="GT23" s="2">
        <v>133.6</v>
      </c>
      <c r="GU23" s="2">
        <v>138.6</v>
      </c>
      <c r="GV23" s="2">
        <v>143.8</v>
      </c>
      <c r="GW23" s="2">
        <v>134.4</v>
      </c>
      <c r="GX23" s="2">
        <v>139.4</v>
      </c>
      <c r="GY23" s="2">
        <v>144.0</v>
      </c>
      <c r="GZ23" s="2">
        <v>134.9</v>
      </c>
      <c r="HA23" s="2">
        <v>139.7</v>
      </c>
      <c r="HB23" s="2">
        <v>147.5</v>
      </c>
      <c r="HC23" s="2">
        <v>135.1</v>
      </c>
      <c r="HD23" s="2">
        <v>142.2</v>
      </c>
      <c r="HE23" s="2">
        <v>148.0</v>
      </c>
      <c r="HF23" s="2">
        <v>135.8</v>
      </c>
      <c r="HG23" s="2">
        <v>142.2</v>
      </c>
      <c r="HH23" s="2">
        <v>149.5</v>
      </c>
      <c r="HI23" s="2">
        <v>136.2</v>
      </c>
      <c r="HJ23" s="2">
        <v>143.2</v>
      </c>
      <c r="HK23" s="2">
        <v>150.1</v>
      </c>
      <c r="HL23" s="2">
        <v>136.3</v>
      </c>
      <c r="HM23" s="2">
        <v>143.6</v>
      </c>
      <c r="HN23" s="2">
        <v>150.1</v>
      </c>
      <c r="HO23" s="2">
        <v>136.6</v>
      </c>
      <c r="HP23" s="2">
        <v>143.7</v>
      </c>
      <c r="HQ23" s="2">
        <v>150.0</v>
      </c>
      <c r="HR23" s="2">
        <v>136.8</v>
      </c>
      <c r="HS23" s="2">
        <v>143.8</v>
      </c>
      <c r="HT23" s="2">
        <v>149.5</v>
      </c>
      <c r="HU23" s="2">
        <v>137.2</v>
      </c>
      <c r="HV23" s="2">
        <v>143.7</v>
      </c>
      <c r="HW23" s="2">
        <v>149.6</v>
      </c>
      <c r="HX23" s="2">
        <v>137.4</v>
      </c>
      <c r="HY23" s="2">
        <v>143.8</v>
      </c>
      <c r="HZ23" s="2">
        <v>150.0</v>
      </c>
      <c r="IA23" s="2">
        <v>137.7</v>
      </c>
      <c r="IB23" s="2">
        <v>144.2</v>
      </c>
      <c r="IC23" s="2">
        <v>150.2</v>
      </c>
      <c r="ID23" s="2">
        <v>138.1</v>
      </c>
      <c r="IE23" s="2">
        <v>144.5</v>
      </c>
      <c r="IF23" s="2">
        <v>150.3</v>
      </c>
      <c r="IG23" s="2">
        <v>138.3</v>
      </c>
      <c r="IH23" s="2">
        <v>144.6</v>
      </c>
      <c r="II23" s="2">
        <v>150.6</v>
      </c>
      <c r="IJ23" s="2">
        <v>138.7</v>
      </c>
      <c r="IK23" s="2">
        <v>145.0</v>
      </c>
      <c r="IL23" s="2">
        <v>150.9</v>
      </c>
      <c r="IM23" s="2">
        <v>139.1</v>
      </c>
      <c r="IN23" s="2">
        <v>145.3</v>
      </c>
      <c r="IO23" s="2">
        <v>151.2</v>
      </c>
      <c r="IP23" s="2">
        <v>139.8</v>
      </c>
      <c r="IQ23" s="2">
        <v>145.8</v>
      </c>
      <c r="IR23" s="2">
        <v>151.7</v>
      </c>
      <c r="IS23" s="2">
        <v>140.1</v>
      </c>
      <c r="IT23" s="2">
        <v>146.2</v>
      </c>
      <c r="IU23" s="2">
        <v>151.8</v>
      </c>
      <c r="IV23" s="2">
        <v>140.4</v>
      </c>
      <c r="IW23" s="2">
        <v>146.4</v>
      </c>
      <c r="IX23" s="2">
        <v>151.5</v>
      </c>
      <c r="IY23" s="2">
        <v>140.8</v>
      </c>
      <c r="IZ23" s="2">
        <v>146.4</v>
      </c>
      <c r="JA23" s="2" t="s">
        <v>32</v>
      </c>
      <c r="JB23" s="2" t="s">
        <v>32</v>
      </c>
      <c r="JC23" s="2" t="s">
        <v>32</v>
      </c>
      <c r="JD23" s="2" t="s">
        <v>32</v>
      </c>
      <c r="JE23" s="2" t="s">
        <v>32</v>
      </c>
      <c r="JF23" s="2" t="s">
        <v>32</v>
      </c>
      <c r="JG23" s="2">
        <v>151.7</v>
      </c>
      <c r="JH23" s="2">
        <v>140.4</v>
      </c>
      <c r="JI23" s="2">
        <v>146.4</v>
      </c>
      <c r="JJ23" s="2">
        <v>151.7</v>
      </c>
      <c r="JK23" s="2">
        <v>140.4</v>
      </c>
      <c r="JL23" s="2">
        <v>146.4</v>
      </c>
      <c r="JM23" s="2">
        <v>151.9</v>
      </c>
      <c r="JN23" s="2">
        <v>144.5</v>
      </c>
      <c r="JO23" s="2">
        <v>148.4</v>
      </c>
      <c r="JP23" s="2">
        <v>151.6</v>
      </c>
      <c r="JQ23" s="2">
        <v>145.4</v>
      </c>
      <c r="JR23" s="2">
        <v>148.7</v>
      </c>
      <c r="JS23" s="2">
        <v>152.0</v>
      </c>
      <c r="JT23" s="2">
        <v>145.1</v>
      </c>
      <c r="JU23" s="2">
        <v>148.7</v>
      </c>
      <c r="JV23" s="2">
        <v>152.8</v>
      </c>
      <c r="JW23" s="2">
        <v>145.1</v>
      </c>
      <c r="JX23" s="2">
        <v>149.2</v>
      </c>
      <c r="JY23" s="2">
        <v>153.4</v>
      </c>
      <c r="JZ23" s="2">
        <v>145.5</v>
      </c>
      <c r="KA23" s="2">
        <v>149.7</v>
      </c>
      <c r="KB23" s="2">
        <v>153.9</v>
      </c>
      <c r="KC23" s="2">
        <v>145.7</v>
      </c>
      <c r="KD23" s="2">
        <v>150.0</v>
      </c>
      <c r="KE23" s="2">
        <v>154.8</v>
      </c>
      <c r="KF23" s="2">
        <v>146.5</v>
      </c>
      <c r="KG23" s="2">
        <v>150.9</v>
      </c>
      <c r="KH23" s="2">
        <v>154.8</v>
      </c>
      <c r="KI23" s="2">
        <v>147.2</v>
      </c>
      <c r="KJ23" s="2">
        <v>151.2</v>
      </c>
      <c r="KK23" s="2">
        <v>155.5</v>
      </c>
      <c r="KL23" s="2">
        <v>147.6</v>
      </c>
      <c r="KM23" s="2">
        <v>151.8</v>
      </c>
      <c r="KN23" s="2">
        <v>158.8</v>
      </c>
      <c r="KO23" s="2">
        <v>150.1</v>
      </c>
      <c r="KP23" s="2">
        <v>154.7</v>
      </c>
      <c r="KQ23" s="2">
        <v>159.2</v>
      </c>
      <c r="KR23" s="2">
        <v>149.8</v>
      </c>
      <c r="KS23" s="2">
        <v>154.8</v>
      </c>
      <c r="KT23" s="2">
        <v>160.3</v>
      </c>
      <c r="KU23" s="2">
        <v>150.7</v>
      </c>
      <c r="KV23" s="2">
        <v>155.8</v>
      </c>
      <c r="KW23" s="2">
        <v>160.9</v>
      </c>
      <c r="KX23" s="2">
        <v>153.2</v>
      </c>
      <c r="KY23" s="2">
        <v>157.5</v>
      </c>
      <c r="KZ23" s="2">
        <v>161.3</v>
      </c>
      <c r="LA23" s="2">
        <v>153.3</v>
      </c>
      <c r="LB23" s="2">
        <v>157.5</v>
      </c>
      <c r="LC23" s="2">
        <v>162.0</v>
      </c>
      <c r="LD23" s="2">
        <v>154.3</v>
      </c>
      <c r="LE23" s="2">
        <v>158.4</v>
      </c>
      <c r="LF23" s="2">
        <v>162.9</v>
      </c>
      <c r="LG23" s="2">
        <v>155.2</v>
      </c>
      <c r="LH23" s="2">
        <v>159.3</v>
      </c>
      <c r="LI23" s="2">
        <v>163.9</v>
      </c>
      <c r="LJ23" s="2">
        <v>156.0</v>
      </c>
      <c r="LK23" s="2">
        <v>160.2</v>
      </c>
      <c r="LL23" s="2">
        <v>164.9</v>
      </c>
      <c r="LM23" s="2">
        <v>156.8</v>
      </c>
      <c r="LN23" s="2">
        <v>161.1</v>
      </c>
      <c r="LO23" s="2">
        <v>165.7</v>
      </c>
      <c r="LP23" s="2">
        <v>157.4</v>
      </c>
      <c r="LQ23" s="2">
        <v>161.8</v>
      </c>
      <c r="LR23" s="2">
        <v>166.5</v>
      </c>
      <c r="LS23" s="2">
        <v>158.6</v>
      </c>
      <c r="LT23" s="2">
        <v>162.8</v>
      </c>
      <c r="LU23" s="2">
        <v>167.7</v>
      </c>
      <c r="LV23" s="2">
        <v>159.8</v>
      </c>
      <c r="LW23" s="2">
        <v>164.0</v>
      </c>
      <c r="LX23" s="2">
        <v>168.9</v>
      </c>
      <c r="LY23" s="2">
        <v>161.1</v>
      </c>
      <c r="LZ23" s="2">
        <v>165.2</v>
      </c>
      <c r="MA23" s="2">
        <v>170.3</v>
      </c>
      <c r="MB23" s="2">
        <v>162.1</v>
      </c>
      <c r="MC23" s="2">
        <v>166.4</v>
      </c>
      <c r="MD23" s="2">
        <v>171.3</v>
      </c>
      <c r="ME23" s="2">
        <v>163.1</v>
      </c>
      <c r="MF23" s="2">
        <v>167.4</v>
      </c>
      <c r="MG23" s="2">
        <v>172.3</v>
      </c>
      <c r="MH23" s="2">
        <v>164.2</v>
      </c>
      <c r="MI23" s="2">
        <v>168.5</v>
      </c>
      <c r="MJ23" s="2">
        <v>173.6</v>
      </c>
      <c r="MK23" s="2">
        <v>165.0</v>
      </c>
      <c r="ML23" s="2">
        <v>169.5</v>
      </c>
      <c r="MM23" s="2">
        <v>174.4</v>
      </c>
      <c r="MN23" s="2">
        <v>166.0</v>
      </c>
      <c r="MO23" s="2">
        <v>170.4</v>
      </c>
      <c r="MP23" s="2">
        <v>175.5</v>
      </c>
      <c r="MQ23" s="2">
        <v>166.9</v>
      </c>
      <c r="MR23" s="2">
        <v>171.4</v>
      </c>
      <c r="MS23" s="2">
        <v>176.4</v>
      </c>
      <c r="MT23" s="2">
        <v>167.3</v>
      </c>
      <c r="MU23" s="2">
        <v>172.1</v>
      </c>
      <c r="MV23" s="2">
        <v>177.2</v>
      </c>
      <c r="MW23" s="2">
        <v>168.0</v>
      </c>
      <c r="MX23" s="2">
        <v>172.9</v>
      </c>
      <c r="MY23" s="2">
        <v>178.6</v>
      </c>
      <c r="MZ23" s="2">
        <v>169.2</v>
      </c>
      <c r="NA23" s="2">
        <v>174.2</v>
      </c>
      <c r="NB23" s="2">
        <v>178.6</v>
      </c>
      <c r="NC23" s="2">
        <v>169.2</v>
      </c>
      <c r="ND23" s="2">
        <v>174.2</v>
      </c>
      <c r="NE23" s="2">
        <v>179.1</v>
      </c>
      <c r="NF23" s="2">
        <v>169.6</v>
      </c>
      <c r="NG23" s="2">
        <v>174.6</v>
      </c>
      <c r="NH23" s="2">
        <v>179.8</v>
      </c>
      <c r="NI23" s="2">
        <v>170.1</v>
      </c>
      <c r="NJ23" s="2">
        <v>175.2</v>
      </c>
    </row>
    <row r="24" ht="15.75" customHeight="1">
      <c r="A24" s="2" t="s">
        <v>23</v>
      </c>
      <c r="B24" s="2" t="str">
        <f>VLOOKUP(A24, NOTES!C25:D50, 2,0)</f>
        <v>Goods, Services and Transport</v>
      </c>
      <c r="C24" s="2">
        <v>104.0</v>
      </c>
      <c r="D24" s="2">
        <v>104.1</v>
      </c>
      <c r="E24" s="2">
        <f>SUMPRODUCT((Sheet3!$MA$1:$NJ$1="Rural+Urban")*(Sheet3!$A$4:$A$13=QUES_3!K25)*Sheet3!$MA$4:$NJ$13)</f>
        <v>0</v>
      </c>
      <c r="F24" s="4">
        <f t="shared" si="1"/>
        <v>0</v>
      </c>
      <c r="G24" s="2">
        <v>104.7</v>
      </c>
      <c r="H24" s="2">
        <v>104.5</v>
      </c>
      <c r="I24" s="2">
        <v>104.7</v>
      </c>
      <c r="J24" s="2">
        <v>105.2</v>
      </c>
      <c r="K24" s="2">
        <v>104.9</v>
      </c>
      <c r="L24" s="2">
        <v>105.1</v>
      </c>
      <c r="M24" s="2">
        <v>105.7</v>
      </c>
      <c r="N24" s="2">
        <v>105.3</v>
      </c>
      <c r="O24" s="2">
        <v>105.7</v>
      </c>
      <c r="P24" s="2">
        <v>106.2</v>
      </c>
      <c r="Q24" s="2">
        <v>105.9</v>
      </c>
      <c r="R24" s="2">
        <v>106.3</v>
      </c>
      <c r="S24" s="2">
        <v>106.5</v>
      </c>
      <c r="T24" s="2">
        <v>106.4</v>
      </c>
      <c r="U24" s="2">
        <v>106.9</v>
      </c>
      <c r="V24" s="2">
        <v>107.1</v>
      </c>
      <c r="W24" s="2">
        <v>107.0</v>
      </c>
      <c r="X24" s="2">
        <v>107.5</v>
      </c>
      <c r="Y24" s="2">
        <v>107.6</v>
      </c>
      <c r="Z24" s="2">
        <v>107.5</v>
      </c>
      <c r="AA24" s="2">
        <v>108.3</v>
      </c>
      <c r="AB24" s="2">
        <v>107.9</v>
      </c>
      <c r="AC24" s="2">
        <v>108.1</v>
      </c>
      <c r="AD24" s="2">
        <v>108.9</v>
      </c>
      <c r="AE24" s="2">
        <v>108.2</v>
      </c>
      <c r="AF24" s="2">
        <v>108.6</v>
      </c>
      <c r="AG24" s="2">
        <v>109.7</v>
      </c>
      <c r="AH24" s="2">
        <v>108.6</v>
      </c>
      <c r="AI24" s="2">
        <v>109.3</v>
      </c>
      <c r="AJ24" s="2">
        <v>110.1</v>
      </c>
      <c r="AK24" s="2">
        <v>109.0</v>
      </c>
      <c r="AL24" s="2">
        <v>109.7</v>
      </c>
      <c r="AM24" s="2">
        <v>110.6</v>
      </c>
      <c r="AN24" s="2">
        <v>109.7</v>
      </c>
      <c r="AO24" s="2">
        <v>110.3</v>
      </c>
      <c r="AP24" s="2">
        <v>110.9</v>
      </c>
      <c r="AQ24" s="2">
        <v>110.4</v>
      </c>
      <c r="AR24" s="2">
        <v>110.7</v>
      </c>
      <c r="AS24" s="2">
        <v>111.4</v>
      </c>
      <c r="AT24" s="2">
        <v>110.8</v>
      </c>
      <c r="AU24" s="2">
        <v>111.2</v>
      </c>
      <c r="AV24" s="2">
        <v>111.8</v>
      </c>
      <c r="AW24" s="2">
        <v>111.0</v>
      </c>
      <c r="AX24" s="2">
        <v>111.5</v>
      </c>
      <c r="AY24" s="2">
        <v>112.1</v>
      </c>
      <c r="AZ24" s="2">
        <v>111.2</v>
      </c>
      <c r="BA24" s="2">
        <v>111.8</v>
      </c>
      <c r="BB24" s="2">
        <v>112.8</v>
      </c>
      <c r="BC24" s="2">
        <v>111.4</v>
      </c>
      <c r="BD24" s="2">
        <v>112.3</v>
      </c>
      <c r="BE24" s="2">
        <v>113.4</v>
      </c>
      <c r="BF24" s="2">
        <v>111.5</v>
      </c>
      <c r="BG24" s="2">
        <v>112.7</v>
      </c>
      <c r="BH24" s="2">
        <v>114.0</v>
      </c>
      <c r="BI24" s="2">
        <v>112.2</v>
      </c>
      <c r="BJ24" s="2">
        <v>113.3</v>
      </c>
      <c r="BK24" s="2">
        <v>114.5</v>
      </c>
      <c r="BL24" s="2">
        <v>112.3</v>
      </c>
      <c r="BM24" s="2">
        <v>113.7</v>
      </c>
      <c r="BN24" s="2">
        <v>115.3</v>
      </c>
      <c r="BO24" s="2">
        <v>112.6</v>
      </c>
      <c r="BP24" s="2">
        <v>114.3</v>
      </c>
      <c r="BQ24" s="2">
        <v>115.9</v>
      </c>
      <c r="BR24" s="2">
        <v>113.0</v>
      </c>
      <c r="BS24" s="2">
        <v>114.8</v>
      </c>
      <c r="BT24" s="2">
        <v>116.2</v>
      </c>
      <c r="BU24" s="2">
        <v>113.2</v>
      </c>
      <c r="BV24" s="2">
        <v>115.1</v>
      </c>
      <c r="BW24" s="2">
        <v>116.6</v>
      </c>
      <c r="BX24" s="2">
        <v>113.7</v>
      </c>
      <c r="BY24" s="2">
        <v>115.5</v>
      </c>
      <c r="BZ24" s="2">
        <v>117.7</v>
      </c>
      <c r="CA24" s="2">
        <v>114.1</v>
      </c>
      <c r="CB24" s="2">
        <v>116.3</v>
      </c>
      <c r="CC24" s="2">
        <v>118.2</v>
      </c>
      <c r="CD24" s="2">
        <v>114.3</v>
      </c>
      <c r="CE24" s="2">
        <v>116.7</v>
      </c>
      <c r="CF24" s="2">
        <v>118.6</v>
      </c>
      <c r="CG24" s="2">
        <v>114.6</v>
      </c>
      <c r="CH24" s="2">
        <v>117.1</v>
      </c>
      <c r="CI24" s="2">
        <v>119.4</v>
      </c>
      <c r="CJ24" s="2">
        <v>114.9</v>
      </c>
      <c r="CK24" s="2">
        <v>117.7</v>
      </c>
      <c r="CL24" s="2">
        <v>120.4</v>
      </c>
      <c r="CM24" s="2">
        <v>115.4</v>
      </c>
      <c r="CN24" s="2">
        <v>118.5</v>
      </c>
      <c r="CO24" s="2">
        <v>120.8</v>
      </c>
      <c r="CP24" s="2">
        <v>116.0</v>
      </c>
      <c r="CQ24" s="2">
        <v>119.0</v>
      </c>
      <c r="CR24" s="2">
        <v>121.1</v>
      </c>
      <c r="CS24" s="2">
        <v>116.6</v>
      </c>
      <c r="CT24" s="2">
        <v>119.4</v>
      </c>
      <c r="CU24" s="2">
        <v>121.4</v>
      </c>
      <c r="CV24" s="2">
        <v>117.1</v>
      </c>
      <c r="CW24" s="2">
        <v>119.8</v>
      </c>
      <c r="CX24" s="2">
        <v>122.0</v>
      </c>
      <c r="CY24" s="2">
        <v>117.7</v>
      </c>
      <c r="CZ24" s="2">
        <v>120.4</v>
      </c>
      <c r="DA24" s="2">
        <v>122.6</v>
      </c>
      <c r="DB24" s="2">
        <v>118.1</v>
      </c>
      <c r="DC24" s="2">
        <v>120.9</v>
      </c>
      <c r="DD24" s="2">
        <v>123.1</v>
      </c>
      <c r="DE24" s="2">
        <v>118.6</v>
      </c>
      <c r="DF24" s="2">
        <v>121.4</v>
      </c>
      <c r="DG24" s="2">
        <v>123.7</v>
      </c>
      <c r="DH24" s="2">
        <v>119.1</v>
      </c>
      <c r="DI24" s="2">
        <v>122.0</v>
      </c>
      <c r="DJ24" s="2">
        <v>124.3</v>
      </c>
      <c r="DK24" s="2">
        <v>119.5</v>
      </c>
      <c r="DL24" s="2">
        <v>122.5</v>
      </c>
      <c r="DM24" s="2">
        <v>124.8</v>
      </c>
      <c r="DN24" s="2">
        <v>119.7</v>
      </c>
      <c r="DO24" s="2">
        <v>122.9</v>
      </c>
      <c r="DP24" s="2">
        <v>125.2</v>
      </c>
      <c r="DQ24" s="2">
        <v>120.0</v>
      </c>
      <c r="DR24" s="2">
        <v>123.2</v>
      </c>
      <c r="DS24" s="2">
        <v>125.8</v>
      </c>
      <c r="DT24" s="2">
        <v>120.3</v>
      </c>
      <c r="DU24" s="2">
        <v>123.7</v>
      </c>
      <c r="DV24" s="2">
        <v>126.2</v>
      </c>
      <c r="DW24" s="2">
        <v>120.6</v>
      </c>
      <c r="DX24" s="2">
        <v>124.1</v>
      </c>
      <c r="DY24" s="2">
        <v>126.7</v>
      </c>
      <c r="DZ24" s="2">
        <v>120.9</v>
      </c>
      <c r="EA24" s="2">
        <v>124.5</v>
      </c>
      <c r="EB24" s="2">
        <v>127.0</v>
      </c>
      <c r="EC24" s="2">
        <v>121.2</v>
      </c>
      <c r="ED24" s="2">
        <v>124.8</v>
      </c>
      <c r="EE24" s="2">
        <v>127.8</v>
      </c>
      <c r="EF24" s="2">
        <v>121.4</v>
      </c>
      <c r="EG24" s="2">
        <v>125.4</v>
      </c>
      <c r="EH24" s="2">
        <v>128.7</v>
      </c>
      <c r="EI24" s="2">
        <v>121.8</v>
      </c>
      <c r="EJ24" s="2">
        <v>126.1</v>
      </c>
      <c r="EK24" s="2">
        <v>129.1</v>
      </c>
      <c r="EL24" s="2">
        <v>122.1</v>
      </c>
      <c r="EM24" s="2">
        <v>126.4</v>
      </c>
      <c r="EN24" s="2">
        <v>129.7</v>
      </c>
      <c r="EO24" s="2">
        <v>122.3</v>
      </c>
      <c r="EP24" s="2">
        <v>126.9</v>
      </c>
      <c r="EQ24" s="2">
        <v>129.9</v>
      </c>
      <c r="ER24" s="2">
        <v>122.6</v>
      </c>
      <c r="ES24" s="2">
        <v>127.1</v>
      </c>
      <c r="ET24" s="2">
        <v>130.1</v>
      </c>
      <c r="EU24" s="2">
        <v>122.9</v>
      </c>
      <c r="EV24" s="2">
        <v>127.4</v>
      </c>
      <c r="EW24" s="2">
        <v>130.6</v>
      </c>
      <c r="EX24" s="2">
        <v>123.1</v>
      </c>
      <c r="EY24" s="2">
        <v>127.8</v>
      </c>
      <c r="EZ24" s="2">
        <v>131.0</v>
      </c>
      <c r="FA24" s="2">
        <v>123.4</v>
      </c>
      <c r="FB24" s="2">
        <v>128.1</v>
      </c>
      <c r="FC24" s="2">
        <v>131.4</v>
      </c>
      <c r="FD24" s="2">
        <v>123.6</v>
      </c>
      <c r="FE24" s="2">
        <v>128.4</v>
      </c>
      <c r="FF24" s="2">
        <v>131.3</v>
      </c>
      <c r="FG24" s="2">
        <v>123.8</v>
      </c>
      <c r="FH24" s="2">
        <v>128.5</v>
      </c>
      <c r="FI24" s="2">
        <v>132.1</v>
      </c>
      <c r="FJ24" s="2">
        <v>125.0</v>
      </c>
      <c r="FK24" s="2">
        <v>129.4</v>
      </c>
      <c r="FL24" s="2">
        <v>133.0</v>
      </c>
      <c r="FM24" s="2">
        <v>125.7</v>
      </c>
      <c r="FN24" s="2">
        <v>130.2</v>
      </c>
      <c r="FO24" s="2">
        <v>133.4</v>
      </c>
      <c r="FP24" s="2">
        <v>126.1</v>
      </c>
      <c r="FQ24" s="2">
        <v>130.6</v>
      </c>
      <c r="FR24" s="2">
        <v>134.2</v>
      </c>
      <c r="FS24" s="2">
        <v>126.6</v>
      </c>
      <c r="FT24" s="2">
        <v>131.3</v>
      </c>
      <c r="FU24" s="2">
        <v>135.8</v>
      </c>
      <c r="FV24" s="2">
        <v>127.4</v>
      </c>
      <c r="FW24" s="2">
        <v>132.6</v>
      </c>
      <c r="FX24" s="2">
        <v>136.1</v>
      </c>
      <c r="FY24" s="2">
        <v>128.2</v>
      </c>
      <c r="FZ24" s="2">
        <v>133.1</v>
      </c>
      <c r="GA24" s="2">
        <v>136.0</v>
      </c>
      <c r="GB24" s="2">
        <v>129.0</v>
      </c>
      <c r="GC24" s="2">
        <v>133.3</v>
      </c>
      <c r="GD24" s="2">
        <v>136.2</v>
      </c>
      <c r="GE24" s="2">
        <v>129.8</v>
      </c>
      <c r="GF24" s="2">
        <v>133.8</v>
      </c>
      <c r="GG24" s="2">
        <v>136.7</v>
      </c>
      <c r="GH24" s="2">
        <v>130.5</v>
      </c>
      <c r="GI24" s="2">
        <v>134.3</v>
      </c>
      <c r="GJ24" s="2">
        <v>137.6</v>
      </c>
      <c r="GK24" s="2">
        <v>131.3</v>
      </c>
      <c r="GL24" s="2">
        <v>135.2</v>
      </c>
      <c r="GM24" s="2">
        <v>138.4</v>
      </c>
      <c r="GN24" s="2">
        <v>132.0</v>
      </c>
      <c r="GO24" s="2">
        <v>136.0</v>
      </c>
      <c r="GP24" s="2">
        <v>138.4</v>
      </c>
      <c r="GQ24" s="2">
        <v>132.6</v>
      </c>
      <c r="GR24" s="2">
        <v>136.2</v>
      </c>
      <c r="GS24" s="2">
        <v>139.0</v>
      </c>
      <c r="GT24" s="2">
        <v>133.6</v>
      </c>
      <c r="GU24" s="2">
        <v>137.0</v>
      </c>
      <c r="GV24" s="2">
        <v>139.4</v>
      </c>
      <c r="GW24" s="2">
        <v>134.9</v>
      </c>
      <c r="GX24" s="2">
        <v>137.7</v>
      </c>
      <c r="GY24" s="2">
        <v>140.0</v>
      </c>
      <c r="GZ24" s="2">
        <v>135.7</v>
      </c>
      <c r="HA24" s="2">
        <v>138.4</v>
      </c>
      <c r="HB24" s="2">
        <v>144.8</v>
      </c>
      <c r="HC24" s="2">
        <v>136.2</v>
      </c>
      <c r="HD24" s="2">
        <v>142.1</v>
      </c>
      <c r="HE24" s="2">
        <v>145.4</v>
      </c>
      <c r="HF24" s="2">
        <v>136.8</v>
      </c>
      <c r="HG24" s="2">
        <v>142.1</v>
      </c>
      <c r="HH24" s="2">
        <v>149.6</v>
      </c>
      <c r="HI24" s="2">
        <v>137.3</v>
      </c>
      <c r="HJ24" s="2">
        <v>144.9</v>
      </c>
      <c r="HK24" s="2">
        <v>149.6</v>
      </c>
      <c r="HL24" s="2">
        <v>137.8</v>
      </c>
      <c r="HM24" s="2">
        <v>145.1</v>
      </c>
      <c r="HN24" s="2">
        <v>149.9</v>
      </c>
      <c r="HO24" s="2">
        <v>138.5</v>
      </c>
      <c r="HP24" s="2">
        <v>145.6</v>
      </c>
      <c r="HQ24" s="2">
        <v>150.4</v>
      </c>
      <c r="HR24" s="2">
        <v>139.2</v>
      </c>
      <c r="HS24" s="2">
        <v>146.2</v>
      </c>
      <c r="HT24" s="2">
        <v>151.3</v>
      </c>
      <c r="HU24" s="2">
        <v>139.8</v>
      </c>
      <c r="HV24" s="2">
        <v>146.9</v>
      </c>
      <c r="HW24" s="2">
        <v>151.7</v>
      </c>
      <c r="HX24" s="2">
        <v>140.3</v>
      </c>
      <c r="HY24" s="2">
        <v>147.4</v>
      </c>
      <c r="HZ24" s="2">
        <v>152.2</v>
      </c>
      <c r="IA24" s="2">
        <v>140.8</v>
      </c>
      <c r="IB24" s="2">
        <v>147.9</v>
      </c>
      <c r="IC24" s="2">
        <v>152.7</v>
      </c>
      <c r="ID24" s="2">
        <v>141.5</v>
      </c>
      <c r="IE24" s="2">
        <v>148.5</v>
      </c>
      <c r="IF24" s="2">
        <v>153.4</v>
      </c>
      <c r="IG24" s="2">
        <v>141.9</v>
      </c>
      <c r="IH24" s="2">
        <v>149.0</v>
      </c>
      <c r="II24" s="2">
        <v>153.7</v>
      </c>
      <c r="IJ24" s="2">
        <v>142.4</v>
      </c>
      <c r="IK24" s="2">
        <v>149.4</v>
      </c>
      <c r="IL24" s="2">
        <v>154.3</v>
      </c>
      <c r="IM24" s="2">
        <v>142.8</v>
      </c>
      <c r="IN24" s="2">
        <v>149.9</v>
      </c>
      <c r="IO24" s="2">
        <v>154.8</v>
      </c>
      <c r="IP24" s="2">
        <v>143.2</v>
      </c>
      <c r="IQ24" s="2">
        <v>150.4</v>
      </c>
      <c r="IR24" s="2">
        <v>155.7</v>
      </c>
      <c r="IS24" s="2">
        <v>143.8</v>
      </c>
      <c r="IT24" s="2">
        <v>151.2</v>
      </c>
      <c r="IU24" s="2">
        <v>156.2</v>
      </c>
      <c r="IV24" s="2">
        <v>144.4</v>
      </c>
      <c r="IW24" s="2">
        <v>151.7</v>
      </c>
      <c r="IX24" s="2">
        <v>156.7</v>
      </c>
      <c r="IY24" s="2">
        <v>145.0</v>
      </c>
      <c r="IZ24" s="2">
        <v>152.3</v>
      </c>
      <c r="JA24" s="2">
        <v>154.3</v>
      </c>
      <c r="JB24" s="2">
        <v>144.8</v>
      </c>
      <c r="JC24" s="2">
        <v>150.7</v>
      </c>
      <c r="JD24" s="2" t="s">
        <v>32</v>
      </c>
      <c r="JE24" s="2" t="s">
        <v>32</v>
      </c>
      <c r="JF24" s="2" t="s">
        <v>32</v>
      </c>
      <c r="JG24" s="2">
        <v>158.2</v>
      </c>
      <c r="JH24" s="2">
        <v>148.1</v>
      </c>
      <c r="JI24" s="2">
        <v>154.4</v>
      </c>
      <c r="JJ24" s="2">
        <v>158.2</v>
      </c>
      <c r="JK24" s="2">
        <v>148.1</v>
      </c>
      <c r="JL24" s="2">
        <v>154.4</v>
      </c>
      <c r="JM24" s="2">
        <v>158.8</v>
      </c>
      <c r="JN24" s="2">
        <v>148.7</v>
      </c>
      <c r="JO24" s="2">
        <v>155.0</v>
      </c>
      <c r="JP24" s="2">
        <v>159.1</v>
      </c>
      <c r="JQ24" s="2">
        <v>150.0</v>
      </c>
      <c r="JR24" s="2">
        <v>155.6</v>
      </c>
      <c r="JS24" s="2">
        <v>159.5</v>
      </c>
      <c r="JT24" s="2">
        <v>151.0</v>
      </c>
      <c r="JU24" s="2">
        <v>156.3</v>
      </c>
      <c r="JV24" s="2">
        <v>160.4</v>
      </c>
      <c r="JW24" s="2">
        <v>152.0</v>
      </c>
      <c r="JX24" s="2">
        <v>157.2</v>
      </c>
      <c r="JY24" s="2">
        <v>161.6</v>
      </c>
      <c r="JZ24" s="2">
        <v>152.9</v>
      </c>
      <c r="KA24" s="2">
        <v>158.3</v>
      </c>
      <c r="KB24" s="2">
        <v>162.5</v>
      </c>
      <c r="KC24" s="2">
        <v>154.1</v>
      </c>
      <c r="KD24" s="2">
        <v>159.3</v>
      </c>
      <c r="KE24" s="2">
        <v>164.3</v>
      </c>
      <c r="KF24" s="2">
        <v>156.3</v>
      </c>
      <c r="KG24" s="2">
        <v>161.3</v>
      </c>
      <c r="KH24" s="2">
        <v>164.6</v>
      </c>
      <c r="KI24" s="2">
        <v>156.9</v>
      </c>
      <c r="KJ24" s="2">
        <v>161.7</v>
      </c>
      <c r="KK24" s="2">
        <v>165.3</v>
      </c>
      <c r="KL24" s="2">
        <v>157.5</v>
      </c>
      <c r="KM24" s="2">
        <v>162.3</v>
      </c>
      <c r="KN24" s="2">
        <v>169.1</v>
      </c>
      <c r="KO24" s="2">
        <v>160.4</v>
      </c>
      <c r="KP24" s="2">
        <v>165.8</v>
      </c>
      <c r="KQ24" s="2">
        <v>169.7</v>
      </c>
      <c r="KR24" s="2">
        <v>160.8</v>
      </c>
      <c r="KS24" s="2">
        <v>166.3</v>
      </c>
      <c r="KT24" s="2">
        <v>170.4</v>
      </c>
      <c r="KU24" s="2">
        <v>161.5</v>
      </c>
      <c r="KV24" s="2">
        <v>167.0</v>
      </c>
      <c r="KW24" s="2">
        <v>171.1</v>
      </c>
      <c r="KX24" s="2">
        <v>162.8</v>
      </c>
      <c r="KY24" s="2">
        <v>168.4</v>
      </c>
      <c r="KZ24" s="2">
        <v>171.9</v>
      </c>
      <c r="LA24" s="2">
        <v>162.8</v>
      </c>
      <c r="LB24" s="2">
        <v>168.4</v>
      </c>
      <c r="LC24" s="2">
        <v>172.5</v>
      </c>
      <c r="LD24" s="2">
        <v>163.5</v>
      </c>
      <c r="LE24" s="2">
        <v>169.1</v>
      </c>
      <c r="LF24" s="2">
        <v>173.4</v>
      </c>
      <c r="LG24" s="2">
        <v>164.2</v>
      </c>
      <c r="LH24" s="2">
        <v>169.9</v>
      </c>
      <c r="LI24" s="2">
        <v>174.0</v>
      </c>
      <c r="LJ24" s="2">
        <v>165.1</v>
      </c>
      <c r="LK24" s="2">
        <v>170.6</v>
      </c>
      <c r="LL24" s="2">
        <v>174.7</v>
      </c>
      <c r="LM24" s="2">
        <v>166.1</v>
      </c>
      <c r="LN24" s="2">
        <v>171.4</v>
      </c>
      <c r="LO24" s="2">
        <v>175.3</v>
      </c>
      <c r="LP24" s="2">
        <v>167.2</v>
      </c>
      <c r="LQ24" s="2">
        <v>172.2</v>
      </c>
      <c r="LR24" s="2">
        <v>176.0</v>
      </c>
      <c r="LS24" s="2">
        <v>168.2</v>
      </c>
      <c r="LT24" s="2">
        <v>173.0</v>
      </c>
      <c r="LU24" s="2">
        <v>177.0</v>
      </c>
      <c r="LV24" s="2">
        <v>169.0</v>
      </c>
      <c r="LW24" s="2">
        <v>174.0</v>
      </c>
      <c r="LX24" s="2">
        <v>177.7</v>
      </c>
      <c r="LY24" s="2">
        <v>170.1</v>
      </c>
      <c r="LZ24" s="2">
        <v>174.8</v>
      </c>
      <c r="MA24" s="2">
        <v>178.2</v>
      </c>
      <c r="MB24" s="2">
        <v>170.9</v>
      </c>
      <c r="MC24" s="2">
        <v>175.4</v>
      </c>
      <c r="MD24" s="2">
        <v>178.8</v>
      </c>
      <c r="ME24" s="2">
        <v>171.7</v>
      </c>
      <c r="MF24" s="2">
        <v>176.1</v>
      </c>
      <c r="MG24" s="2">
        <v>179.4</v>
      </c>
      <c r="MH24" s="2">
        <v>172.6</v>
      </c>
      <c r="MI24" s="2">
        <v>176.8</v>
      </c>
      <c r="MJ24" s="2">
        <v>180.2</v>
      </c>
      <c r="MK24" s="2">
        <v>173.8</v>
      </c>
      <c r="ML24" s="2">
        <v>177.8</v>
      </c>
      <c r="MM24" s="2">
        <v>181.2</v>
      </c>
      <c r="MN24" s="2">
        <v>174.7</v>
      </c>
      <c r="MO24" s="2">
        <v>178.7</v>
      </c>
      <c r="MP24" s="2">
        <v>182.3</v>
      </c>
      <c r="MQ24" s="2">
        <v>175.8</v>
      </c>
      <c r="MR24" s="2">
        <v>179.8</v>
      </c>
      <c r="MS24" s="2">
        <v>183.5</v>
      </c>
      <c r="MT24" s="2">
        <v>177.2</v>
      </c>
      <c r="MU24" s="2">
        <v>181.1</v>
      </c>
      <c r="MV24" s="2">
        <v>184.7</v>
      </c>
      <c r="MW24" s="2">
        <v>178.5</v>
      </c>
      <c r="MX24" s="2">
        <v>182.3</v>
      </c>
      <c r="MY24" s="2">
        <v>186.6</v>
      </c>
      <c r="MZ24" s="2">
        <v>180.8</v>
      </c>
      <c r="NA24" s="2">
        <v>184.4</v>
      </c>
      <c r="NB24" s="2">
        <v>186.6</v>
      </c>
      <c r="NC24" s="2">
        <v>180.8</v>
      </c>
      <c r="ND24" s="2">
        <v>184.4</v>
      </c>
      <c r="NE24" s="2">
        <v>187.2</v>
      </c>
      <c r="NF24" s="2">
        <v>181.5</v>
      </c>
      <c r="NG24" s="2">
        <v>185.0</v>
      </c>
      <c r="NH24" s="2">
        <v>187.8</v>
      </c>
      <c r="NI24" s="2">
        <v>182.2</v>
      </c>
      <c r="NJ24" s="2">
        <v>185.7</v>
      </c>
    </row>
    <row r="25" ht="15.75" customHeight="1">
      <c r="A25" s="2" t="s">
        <v>24</v>
      </c>
      <c r="B25" s="2" t="str">
        <f>VLOOKUP(A25, NOTES!C26:D51, 2,0)</f>
        <v>Social and Miscellaneous</v>
      </c>
      <c r="C25" s="2">
        <v>103.3</v>
      </c>
      <c r="D25" s="2">
        <v>103.2</v>
      </c>
      <c r="E25" s="2">
        <f>SUMPRODUCT((Sheet3!$MA$1:$NJ$1="Rural+Urban")*(Sheet3!$A$4:$A$13=QUES_3!K26)*Sheet3!$MA$4:$NJ$13)</f>
        <v>0</v>
      </c>
      <c r="F25" s="4">
        <f t="shared" si="1"/>
        <v>0</v>
      </c>
      <c r="G25" s="2">
        <v>104.4</v>
      </c>
      <c r="H25" s="2">
        <v>104.2</v>
      </c>
      <c r="I25" s="2">
        <v>104.6</v>
      </c>
      <c r="J25" s="2">
        <v>105.5</v>
      </c>
      <c r="K25" s="2">
        <v>105.1</v>
      </c>
      <c r="L25" s="2">
        <v>104.4</v>
      </c>
      <c r="M25" s="2">
        <v>105.0</v>
      </c>
      <c r="N25" s="2">
        <v>104.7</v>
      </c>
      <c r="O25" s="2">
        <v>104.1</v>
      </c>
      <c r="P25" s="2">
        <v>103.9</v>
      </c>
      <c r="Q25" s="2">
        <v>104.0</v>
      </c>
      <c r="R25" s="2">
        <v>105.0</v>
      </c>
      <c r="S25" s="2">
        <v>105.2</v>
      </c>
      <c r="T25" s="2">
        <v>105.1</v>
      </c>
      <c r="U25" s="2">
        <v>106.8</v>
      </c>
      <c r="V25" s="2">
        <v>107.3</v>
      </c>
      <c r="W25" s="2">
        <v>107.1</v>
      </c>
      <c r="X25" s="2">
        <v>107.8</v>
      </c>
      <c r="Y25" s="2">
        <v>108.1</v>
      </c>
      <c r="Z25" s="2">
        <v>108.0</v>
      </c>
      <c r="AA25" s="2">
        <v>109.3</v>
      </c>
      <c r="AB25" s="2">
        <v>110.4</v>
      </c>
      <c r="AC25" s="2">
        <v>109.9</v>
      </c>
      <c r="AD25" s="2">
        <v>109.3</v>
      </c>
      <c r="AE25" s="2">
        <v>109.7</v>
      </c>
      <c r="AF25" s="2">
        <v>109.5</v>
      </c>
      <c r="AG25" s="2">
        <v>109.6</v>
      </c>
      <c r="AH25" s="2">
        <v>109.5</v>
      </c>
      <c r="AI25" s="2">
        <v>109.5</v>
      </c>
      <c r="AJ25" s="2">
        <v>109.9</v>
      </c>
      <c r="AK25" s="2">
        <v>109.7</v>
      </c>
      <c r="AL25" s="2">
        <v>109.8</v>
      </c>
      <c r="AM25" s="2">
        <v>110.5</v>
      </c>
      <c r="AN25" s="2">
        <v>110.8</v>
      </c>
      <c r="AO25" s="2">
        <v>110.7</v>
      </c>
      <c r="AP25" s="2">
        <v>110.8</v>
      </c>
      <c r="AQ25" s="2">
        <v>111.3</v>
      </c>
      <c r="AR25" s="2">
        <v>111.1</v>
      </c>
      <c r="AS25" s="2">
        <v>111.2</v>
      </c>
      <c r="AT25" s="2">
        <v>111.6</v>
      </c>
      <c r="AU25" s="2">
        <v>111.4</v>
      </c>
      <c r="AV25" s="2">
        <v>111.2</v>
      </c>
      <c r="AW25" s="2">
        <v>111.2</v>
      </c>
      <c r="AX25" s="2">
        <v>111.2</v>
      </c>
      <c r="AY25" s="2">
        <v>111.4</v>
      </c>
      <c r="AZ25" s="2">
        <v>111.3</v>
      </c>
      <c r="BA25" s="2">
        <v>111.3</v>
      </c>
      <c r="BB25" s="2">
        <v>112.2</v>
      </c>
      <c r="BC25" s="2">
        <v>111.5</v>
      </c>
      <c r="BD25" s="2">
        <v>111.8</v>
      </c>
      <c r="BE25" s="2">
        <v>113.2</v>
      </c>
      <c r="BF25" s="2">
        <v>113.0</v>
      </c>
      <c r="BG25" s="2">
        <v>113.1</v>
      </c>
      <c r="BH25" s="2">
        <v>113.2</v>
      </c>
      <c r="BI25" s="2">
        <v>112.5</v>
      </c>
      <c r="BJ25" s="2">
        <v>112.8</v>
      </c>
      <c r="BK25" s="2">
        <v>112.8</v>
      </c>
      <c r="BL25" s="2">
        <v>111.2</v>
      </c>
      <c r="BM25" s="2">
        <v>112.0</v>
      </c>
      <c r="BN25" s="2">
        <v>112.6</v>
      </c>
      <c r="BO25" s="2">
        <v>111.0</v>
      </c>
      <c r="BP25" s="2">
        <v>111.8</v>
      </c>
      <c r="BQ25" s="2">
        <v>112.0</v>
      </c>
      <c r="BR25" s="2">
        <v>109.7</v>
      </c>
      <c r="BS25" s="2">
        <v>110.8</v>
      </c>
      <c r="BT25" s="2">
        <v>111.5</v>
      </c>
      <c r="BU25" s="2">
        <v>108.8</v>
      </c>
      <c r="BV25" s="2">
        <v>110.1</v>
      </c>
      <c r="BW25" s="2">
        <v>111.0</v>
      </c>
      <c r="BX25" s="2">
        <v>107.9</v>
      </c>
      <c r="BY25" s="2">
        <v>109.4</v>
      </c>
      <c r="BZ25" s="2">
        <v>110.9</v>
      </c>
      <c r="CA25" s="2">
        <v>106.8</v>
      </c>
      <c r="CB25" s="2">
        <v>108.7</v>
      </c>
      <c r="CC25" s="2">
        <v>111.6</v>
      </c>
      <c r="CD25" s="2">
        <v>108.4</v>
      </c>
      <c r="CE25" s="2">
        <v>109.9</v>
      </c>
      <c r="CF25" s="2">
        <v>111.9</v>
      </c>
      <c r="CG25" s="2">
        <v>108.4</v>
      </c>
      <c r="CH25" s="2">
        <v>110.1</v>
      </c>
      <c r="CI25" s="2">
        <v>113.3</v>
      </c>
      <c r="CJ25" s="2">
        <v>110.8</v>
      </c>
      <c r="CK25" s="2">
        <v>112.0</v>
      </c>
      <c r="CL25" s="2">
        <v>114.2</v>
      </c>
      <c r="CM25" s="2">
        <v>111.7</v>
      </c>
      <c r="CN25" s="2">
        <v>112.9</v>
      </c>
      <c r="CO25" s="2">
        <v>114.1</v>
      </c>
      <c r="CP25" s="2">
        <v>111.5</v>
      </c>
      <c r="CQ25" s="2">
        <v>112.7</v>
      </c>
      <c r="CR25" s="2">
        <v>113.6</v>
      </c>
      <c r="CS25" s="2">
        <v>109.9</v>
      </c>
      <c r="CT25" s="2">
        <v>111.7</v>
      </c>
      <c r="CU25" s="2">
        <v>113.8</v>
      </c>
      <c r="CV25" s="2">
        <v>109.1</v>
      </c>
      <c r="CW25" s="2">
        <v>111.3</v>
      </c>
      <c r="CX25" s="2">
        <v>113.8</v>
      </c>
      <c r="CY25" s="2">
        <v>109.3</v>
      </c>
      <c r="CZ25" s="2">
        <v>111.4</v>
      </c>
      <c r="DA25" s="2">
        <v>114.0</v>
      </c>
      <c r="DB25" s="2">
        <v>109.3</v>
      </c>
      <c r="DC25" s="2">
        <v>111.5</v>
      </c>
      <c r="DD25" s="2">
        <v>114.0</v>
      </c>
      <c r="DE25" s="2">
        <v>109.3</v>
      </c>
      <c r="DF25" s="2">
        <v>111.5</v>
      </c>
      <c r="DG25" s="2">
        <v>113.6</v>
      </c>
      <c r="DH25" s="2">
        <v>108.9</v>
      </c>
      <c r="DI25" s="2">
        <v>111.1</v>
      </c>
      <c r="DJ25" s="2">
        <v>113.9</v>
      </c>
      <c r="DK25" s="2">
        <v>109.1</v>
      </c>
      <c r="DL25" s="2">
        <v>111.4</v>
      </c>
      <c r="DM25" s="2">
        <v>113.6</v>
      </c>
      <c r="DN25" s="2">
        <v>108.5</v>
      </c>
      <c r="DO25" s="2">
        <v>110.9</v>
      </c>
      <c r="DP25" s="2">
        <v>114.4</v>
      </c>
      <c r="DQ25" s="2">
        <v>110.0</v>
      </c>
      <c r="DR25" s="2">
        <v>112.1</v>
      </c>
      <c r="DS25" s="2">
        <v>115.1</v>
      </c>
      <c r="DT25" s="2">
        <v>110.7</v>
      </c>
      <c r="DU25" s="2">
        <v>112.8</v>
      </c>
      <c r="DV25" s="2">
        <v>116.3</v>
      </c>
      <c r="DW25" s="2">
        <v>112.3</v>
      </c>
      <c r="DX25" s="2">
        <v>114.2</v>
      </c>
      <c r="DY25" s="2">
        <v>116.4</v>
      </c>
      <c r="DZ25" s="2">
        <v>111.7</v>
      </c>
      <c r="EA25" s="2">
        <v>113.9</v>
      </c>
      <c r="EB25" s="2">
        <v>116.0</v>
      </c>
      <c r="EC25" s="2">
        <v>110.4</v>
      </c>
      <c r="ED25" s="2">
        <v>113.1</v>
      </c>
      <c r="EE25" s="2">
        <v>117.0</v>
      </c>
      <c r="EF25" s="2">
        <v>111.8</v>
      </c>
      <c r="EG25" s="2">
        <v>114.3</v>
      </c>
      <c r="EH25" s="2">
        <v>117.8</v>
      </c>
      <c r="EI25" s="2">
        <v>112.8</v>
      </c>
      <c r="EJ25" s="2">
        <v>115.2</v>
      </c>
      <c r="EK25" s="2">
        <v>118.2</v>
      </c>
      <c r="EL25" s="2">
        <v>113.4</v>
      </c>
      <c r="EM25" s="2">
        <v>115.7</v>
      </c>
      <c r="EN25" s="2">
        <v>118.6</v>
      </c>
      <c r="EO25" s="2">
        <v>113.7</v>
      </c>
      <c r="EP25" s="2">
        <v>116.0</v>
      </c>
      <c r="EQ25" s="2">
        <v>119.1</v>
      </c>
      <c r="ER25" s="2">
        <v>115.2</v>
      </c>
      <c r="ES25" s="2">
        <v>117.0</v>
      </c>
      <c r="ET25" s="2">
        <v>119.5</v>
      </c>
      <c r="EU25" s="2">
        <v>115.5</v>
      </c>
      <c r="EV25" s="2">
        <v>117.4</v>
      </c>
      <c r="EW25" s="2">
        <v>119.8</v>
      </c>
      <c r="EX25" s="2">
        <v>115.6</v>
      </c>
      <c r="EY25" s="2">
        <v>117.6</v>
      </c>
      <c r="EZ25" s="2">
        <v>119.2</v>
      </c>
      <c r="FA25" s="2">
        <v>114.3</v>
      </c>
      <c r="FB25" s="2">
        <v>116.6</v>
      </c>
      <c r="FC25" s="2">
        <v>119.4</v>
      </c>
      <c r="FD25" s="2">
        <v>114.3</v>
      </c>
      <c r="FE25" s="2">
        <v>116.7</v>
      </c>
      <c r="FF25" s="2">
        <v>119.4</v>
      </c>
      <c r="FG25" s="2">
        <v>113.9</v>
      </c>
      <c r="FH25" s="2">
        <v>116.5</v>
      </c>
      <c r="FI25" s="2">
        <v>119.1</v>
      </c>
      <c r="FJ25" s="2">
        <v>113.2</v>
      </c>
      <c r="FK25" s="2">
        <v>116.0</v>
      </c>
      <c r="FL25" s="2">
        <v>120.3</v>
      </c>
      <c r="FM25" s="2">
        <v>114.6</v>
      </c>
      <c r="FN25" s="2">
        <v>117.3</v>
      </c>
      <c r="FO25" s="2">
        <v>121.2</v>
      </c>
      <c r="FP25" s="2">
        <v>115.7</v>
      </c>
      <c r="FQ25" s="2">
        <v>118.3</v>
      </c>
      <c r="FR25" s="2">
        <v>121.0</v>
      </c>
      <c r="FS25" s="2">
        <v>115.0</v>
      </c>
      <c r="FT25" s="2">
        <v>117.8</v>
      </c>
      <c r="FU25" s="2">
        <v>121.6</v>
      </c>
      <c r="FV25" s="2">
        <v>115.3</v>
      </c>
      <c r="FW25" s="2">
        <v>118.3</v>
      </c>
      <c r="FX25" s="2">
        <v>122.0</v>
      </c>
      <c r="FY25" s="2">
        <v>115.3</v>
      </c>
      <c r="FZ25" s="2">
        <v>118.5</v>
      </c>
      <c r="GA25" s="2">
        <v>122.7</v>
      </c>
      <c r="GB25" s="2">
        <v>116.3</v>
      </c>
      <c r="GC25" s="2">
        <v>119.3</v>
      </c>
      <c r="GD25" s="2">
        <v>123.3</v>
      </c>
      <c r="GE25" s="2">
        <v>117.4</v>
      </c>
      <c r="GF25" s="2">
        <v>120.2</v>
      </c>
      <c r="GG25" s="2">
        <v>124.6</v>
      </c>
      <c r="GH25" s="2">
        <v>117.8</v>
      </c>
      <c r="GI25" s="2">
        <v>121.0</v>
      </c>
      <c r="GJ25" s="2">
        <v>125.3</v>
      </c>
      <c r="GK25" s="2">
        <v>118.9</v>
      </c>
      <c r="GL25" s="2">
        <v>121.9</v>
      </c>
      <c r="GM25" s="2">
        <v>126.4</v>
      </c>
      <c r="GN25" s="2">
        <v>119.8</v>
      </c>
      <c r="GO25" s="2">
        <v>122.9</v>
      </c>
      <c r="GP25" s="2">
        <v>127.4</v>
      </c>
      <c r="GQ25" s="2">
        <v>120.4</v>
      </c>
      <c r="GR25" s="2">
        <v>123.7</v>
      </c>
      <c r="GS25" s="2">
        <v>127.5</v>
      </c>
      <c r="GT25" s="2">
        <v>120.1</v>
      </c>
      <c r="GU25" s="2">
        <v>123.6</v>
      </c>
      <c r="GV25" s="2">
        <v>128.3</v>
      </c>
      <c r="GW25" s="2">
        <v>120.7</v>
      </c>
      <c r="GX25" s="2">
        <v>124.3</v>
      </c>
      <c r="GY25" s="2">
        <v>129.9</v>
      </c>
      <c r="GZ25" s="2">
        <v>122.5</v>
      </c>
      <c r="HA25" s="2">
        <v>126.0</v>
      </c>
      <c r="HB25" s="2">
        <v>130.8</v>
      </c>
      <c r="HC25" s="2">
        <v>123.3</v>
      </c>
      <c r="HD25" s="2">
        <v>125.5</v>
      </c>
      <c r="HE25" s="2">
        <v>130.3</v>
      </c>
      <c r="HF25" s="2">
        <v>121.2</v>
      </c>
      <c r="HG25" s="2">
        <v>125.5</v>
      </c>
      <c r="HH25" s="2">
        <v>128.9</v>
      </c>
      <c r="HI25" s="2">
        <v>118.8</v>
      </c>
      <c r="HJ25" s="2">
        <v>123.6</v>
      </c>
      <c r="HK25" s="2">
        <v>128.6</v>
      </c>
      <c r="HL25" s="2">
        <v>118.6</v>
      </c>
      <c r="HM25" s="2">
        <v>123.3</v>
      </c>
      <c r="HN25" s="2">
        <v>129.2</v>
      </c>
      <c r="HO25" s="2">
        <v>119.2</v>
      </c>
      <c r="HP25" s="2">
        <v>123.9</v>
      </c>
      <c r="HQ25" s="2">
        <v>129.9</v>
      </c>
      <c r="HR25" s="2">
        <v>119.9</v>
      </c>
      <c r="HS25" s="2">
        <v>124.6</v>
      </c>
      <c r="HT25" s="2">
        <v>130.2</v>
      </c>
      <c r="HU25" s="2">
        <v>120.1</v>
      </c>
      <c r="HV25" s="2">
        <v>124.9</v>
      </c>
      <c r="HW25" s="2">
        <v>130.2</v>
      </c>
      <c r="HX25" s="2">
        <v>119.6</v>
      </c>
      <c r="HY25" s="2">
        <v>124.6</v>
      </c>
      <c r="HZ25" s="2">
        <v>131.2</v>
      </c>
      <c r="IA25" s="2">
        <v>120.6</v>
      </c>
      <c r="IB25" s="2">
        <v>125.6</v>
      </c>
      <c r="IC25" s="2">
        <v>131.4</v>
      </c>
      <c r="ID25" s="2">
        <v>120.8</v>
      </c>
      <c r="IE25" s="2">
        <v>125.8</v>
      </c>
      <c r="IF25" s="2">
        <v>131.6</v>
      </c>
      <c r="IG25" s="2">
        <v>121.2</v>
      </c>
      <c r="IH25" s="2">
        <v>126.1</v>
      </c>
      <c r="II25" s="2">
        <v>131.7</v>
      </c>
      <c r="IJ25" s="2">
        <v>121.5</v>
      </c>
      <c r="IK25" s="2">
        <v>126.3</v>
      </c>
      <c r="IL25" s="2">
        <v>132.1</v>
      </c>
      <c r="IM25" s="2">
        <v>121.7</v>
      </c>
      <c r="IN25" s="2">
        <v>126.6</v>
      </c>
      <c r="IO25" s="2">
        <v>135.0</v>
      </c>
      <c r="IP25" s="2">
        <v>125.2</v>
      </c>
      <c r="IQ25" s="2">
        <v>129.8</v>
      </c>
      <c r="IR25" s="2">
        <v>136.3</v>
      </c>
      <c r="IS25" s="2">
        <v>126.1</v>
      </c>
      <c r="IT25" s="2">
        <v>130.9</v>
      </c>
      <c r="IU25" s="2">
        <v>136.0</v>
      </c>
      <c r="IV25" s="2">
        <v>125.2</v>
      </c>
      <c r="IW25" s="2">
        <v>130.3</v>
      </c>
      <c r="IX25" s="2">
        <v>135.8</v>
      </c>
      <c r="IY25" s="2">
        <v>124.6</v>
      </c>
      <c r="IZ25" s="2">
        <v>129.9</v>
      </c>
      <c r="JA25" s="2" t="s">
        <v>32</v>
      </c>
      <c r="JB25" s="2" t="s">
        <v>32</v>
      </c>
      <c r="JC25" s="2" t="s">
        <v>32</v>
      </c>
      <c r="JD25" s="2" t="s">
        <v>32</v>
      </c>
      <c r="JE25" s="2" t="s">
        <v>32</v>
      </c>
      <c r="JF25" s="2" t="s">
        <v>32</v>
      </c>
      <c r="JG25" s="2">
        <v>141.4</v>
      </c>
      <c r="JH25" s="2">
        <v>129.3</v>
      </c>
      <c r="JI25" s="2">
        <v>135.0</v>
      </c>
      <c r="JJ25" s="2">
        <v>141.4</v>
      </c>
      <c r="JK25" s="2">
        <v>129.3</v>
      </c>
      <c r="JL25" s="2">
        <v>135.0</v>
      </c>
      <c r="JM25" s="2">
        <v>143.6</v>
      </c>
      <c r="JN25" s="2">
        <v>133.9</v>
      </c>
      <c r="JO25" s="2">
        <v>138.5</v>
      </c>
      <c r="JP25" s="2">
        <v>144.6</v>
      </c>
      <c r="JQ25" s="2">
        <v>135.1</v>
      </c>
      <c r="JR25" s="2">
        <v>139.6</v>
      </c>
      <c r="JS25" s="2">
        <v>146.4</v>
      </c>
      <c r="JT25" s="2">
        <v>135.4</v>
      </c>
      <c r="JU25" s="2">
        <v>140.6</v>
      </c>
      <c r="JV25" s="2">
        <v>146.1</v>
      </c>
      <c r="JW25" s="2">
        <v>135.2</v>
      </c>
      <c r="JX25" s="2">
        <v>140.4</v>
      </c>
      <c r="JY25" s="2">
        <v>146.4</v>
      </c>
      <c r="JZ25" s="2">
        <v>135.5</v>
      </c>
      <c r="KA25" s="2">
        <v>140.7</v>
      </c>
      <c r="KB25" s="2">
        <v>147.5</v>
      </c>
      <c r="KC25" s="2">
        <v>136.9</v>
      </c>
      <c r="KD25" s="2">
        <v>141.9</v>
      </c>
      <c r="KE25" s="2">
        <v>150.2</v>
      </c>
      <c r="KF25" s="2">
        <v>140.5</v>
      </c>
      <c r="KG25" s="2">
        <v>145.1</v>
      </c>
      <c r="KH25" s="2">
        <v>151.3</v>
      </c>
      <c r="KI25" s="2">
        <v>141.7</v>
      </c>
      <c r="KJ25" s="2">
        <v>146.2</v>
      </c>
      <c r="KK25" s="2">
        <v>151.7</v>
      </c>
      <c r="KL25" s="2">
        <v>142.1</v>
      </c>
      <c r="KM25" s="2">
        <v>146.6</v>
      </c>
      <c r="KN25" s="2">
        <v>153.2</v>
      </c>
      <c r="KO25" s="2">
        <v>145.0</v>
      </c>
      <c r="KP25" s="2">
        <v>148.9</v>
      </c>
      <c r="KQ25" s="2">
        <v>154.2</v>
      </c>
      <c r="KR25" s="2">
        <v>147.5</v>
      </c>
      <c r="KS25" s="2">
        <v>150.7</v>
      </c>
      <c r="KT25" s="2">
        <v>157.1</v>
      </c>
      <c r="KU25" s="2">
        <v>149.5</v>
      </c>
      <c r="KV25" s="2">
        <v>153.1</v>
      </c>
      <c r="KW25" s="2">
        <v>157.7</v>
      </c>
      <c r="KX25" s="2">
        <v>150.4</v>
      </c>
      <c r="KY25" s="2">
        <v>154.0</v>
      </c>
      <c r="KZ25" s="2">
        <v>157.8</v>
      </c>
      <c r="LA25" s="2">
        <v>150.5</v>
      </c>
      <c r="LB25" s="2">
        <v>154.0</v>
      </c>
      <c r="LC25" s="2">
        <v>159.5</v>
      </c>
      <c r="LD25" s="2">
        <v>152.2</v>
      </c>
      <c r="LE25" s="2">
        <v>155.7</v>
      </c>
      <c r="LF25" s="2">
        <v>158.9</v>
      </c>
      <c r="LG25" s="2">
        <v>151.2</v>
      </c>
      <c r="LH25" s="2">
        <v>154.8</v>
      </c>
      <c r="LI25" s="2">
        <v>160.1</v>
      </c>
      <c r="LJ25" s="2">
        <v>151.8</v>
      </c>
      <c r="LK25" s="2">
        <v>155.7</v>
      </c>
      <c r="LL25" s="2">
        <v>160.8</v>
      </c>
      <c r="LM25" s="2">
        <v>152.7</v>
      </c>
      <c r="LN25" s="2">
        <v>156.5</v>
      </c>
      <c r="LO25" s="2">
        <v>161.2</v>
      </c>
      <c r="LP25" s="2">
        <v>153.1</v>
      </c>
      <c r="LQ25" s="2">
        <v>156.9</v>
      </c>
      <c r="LR25" s="2">
        <v>162.0</v>
      </c>
      <c r="LS25" s="2">
        <v>154.2</v>
      </c>
      <c r="LT25" s="2">
        <v>157.9</v>
      </c>
      <c r="LU25" s="2">
        <v>166.2</v>
      </c>
      <c r="LV25" s="2">
        <v>159.3</v>
      </c>
      <c r="LW25" s="2">
        <v>162.6</v>
      </c>
      <c r="LX25" s="2">
        <v>167.1</v>
      </c>
      <c r="LY25" s="2">
        <v>159.4</v>
      </c>
      <c r="LZ25" s="2">
        <v>163.0</v>
      </c>
      <c r="MA25" s="2">
        <v>165.5</v>
      </c>
      <c r="MB25" s="2">
        <v>157.2</v>
      </c>
      <c r="MC25" s="2">
        <v>161.1</v>
      </c>
      <c r="MD25" s="2">
        <v>166.3</v>
      </c>
      <c r="ME25" s="2">
        <v>157.4</v>
      </c>
      <c r="MF25" s="2">
        <v>161.6</v>
      </c>
      <c r="MG25" s="2">
        <v>166.6</v>
      </c>
      <c r="MH25" s="2">
        <v>157.7</v>
      </c>
      <c r="MI25" s="2">
        <v>161.9</v>
      </c>
      <c r="MJ25" s="2">
        <v>166.9</v>
      </c>
      <c r="MK25" s="2">
        <v>158.2</v>
      </c>
      <c r="ML25" s="2">
        <v>162.3</v>
      </c>
      <c r="MM25" s="2">
        <v>167.4</v>
      </c>
      <c r="MN25" s="2">
        <v>158.8</v>
      </c>
      <c r="MO25" s="2">
        <v>162.9</v>
      </c>
      <c r="MP25" s="2">
        <v>167.5</v>
      </c>
      <c r="MQ25" s="2">
        <v>158.9</v>
      </c>
      <c r="MR25" s="2">
        <v>163.0</v>
      </c>
      <c r="MS25" s="2">
        <v>167.8</v>
      </c>
      <c r="MT25" s="2">
        <v>159.4</v>
      </c>
      <c r="MU25" s="2">
        <v>163.4</v>
      </c>
      <c r="MV25" s="2">
        <v>168.2</v>
      </c>
      <c r="MW25" s="2">
        <v>159.5</v>
      </c>
      <c r="MX25" s="2">
        <v>163.6</v>
      </c>
      <c r="MY25" s="2">
        <v>169.0</v>
      </c>
      <c r="MZ25" s="2">
        <v>159.8</v>
      </c>
      <c r="NA25" s="2">
        <v>164.2</v>
      </c>
      <c r="NB25" s="2">
        <v>169.0</v>
      </c>
      <c r="NC25" s="2">
        <v>159.8</v>
      </c>
      <c r="ND25" s="2">
        <v>164.2</v>
      </c>
      <c r="NE25" s="2">
        <v>169.4</v>
      </c>
      <c r="NF25" s="2">
        <v>160.1</v>
      </c>
      <c r="NG25" s="2">
        <v>164.5</v>
      </c>
      <c r="NH25" s="2">
        <v>169.7</v>
      </c>
      <c r="NI25" s="2">
        <v>160.4</v>
      </c>
      <c r="NJ25" s="2">
        <v>164.8</v>
      </c>
    </row>
    <row r="26" ht="15.75" customHeight="1">
      <c r="A26" s="2" t="s">
        <v>25</v>
      </c>
      <c r="B26" s="2" t="str">
        <f>VLOOKUP(A26, NOTES!C27:D52, 2,0)</f>
        <v>Social and Miscellaneous</v>
      </c>
      <c r="C26" s="2">
        <v>103.4</v>
      </c>
      <c r="D26" s="2">
        <v>102.9</v>
      </c>
      <c r="E26" s="2">
        <f>SUMPRODUCT((Sheet3!$MA$1:$NJ$1="Rural+Urban")*(Sheet3!$A$4:$A$13=QUES_3!K27)*Sheet3!$MA$4:$NJ$13)</f>
        <v>2010.8</v>
      </c>
      <c r="F26" s="4">
        <f t="shared" si="1"/>
        <v>0.2332200559</v>
      </c>
      <c r="G26" s="2">
        <v>103.3</v>
      </c>
      <c r="H26" s="2">
        <v>103.6</v>
      </c>
      <c r="I26" s="2">
        <v>104.0</v>
      </c>
      <c r="J26" s="2">
        <v>103.5</v>
      </c>
      <c r="K26" s="2">
        <v>103.7</v>
      </c>
      <c r="L26" s="2">
        <v>104.5</v>
      </c>
      <c r="M26" s="2">
        <v>104.0</v>
      </c>
      <c r="N26" s="2">
        <v>104.2</v>
      </c>
      <c r="O26" s="2">
        <v>105.0</v>
      </c>
      <c r="P26" s="2">
        <v>104.6</v>
      </c>
      <c r="Q26" s="2">
        <v>104.8</v>
      </c>
      <c r="R26" s="2">
        <v>105.6</v>
      </c>
      <c r="S26" s="2">
        <v>105.2</v>
      </c>
      <c r="T26" s="2">
        <v>105.4</v>
      </c>
      <c r="U26" s="2">
        <v>106.4</v>
      </c>
      <c r="V26" s="2">
        <v>105.9</v>
      </c>
      <c r="W26" s="2">
        <v>106.1</v>
      </c>
      <c r="X26" s="2">
        <v>106.8</v>
      </c>
      <c r="Y26" s="2">
        <v>106.5</v>
      </c>
      <c r="Z26" s="2">
        <v>106.6</v>
      </c>
      <c r="AA26" s="2">
        <v>107.7</v>
      </c>
      <c r="AB26" s="2">
        <v>107.4</v>
      </c>
      <c r="AC26" s="2">
        <v>107.5</v>
      </c>
      <c r="AD26" s="2">
        <v>108.3</v>
      </c>
      <c r="AE26" s="2">
        <v>108.0</v>
      </c>
      <c r="AF26" s="2">
        <v>108.1</v>
      </c>
      <c r="AG26" s="2">
        <v>108.7</v>
      </c>
      <c r="AH26" s="2">
        <v>108.5</v>
      </c>
      <c r="AI26" s="2">
        <v>108.6</v>
      </c>
      <c r="AJ26" s="2">
        <v>109.2</v>
      </c>
      <c r="AK26" s="2">
        <v>108.9</v>
      </c>
      <c r="AL26" s="2">
        <v>109.0</v>
      </c>
      <c r="AM26" s="2">
        <v>109.6</v>
      </c>
      <c r="AN26" s="2">
        <v>109.8</v>
      </c>
      <c r="AO26" s="2">
        <v>109.7</v>
      </c>
      <c r="AP26" s="2">
        <v>109.9</v>
      </c>
      <c r="AQ26" s="2">
        <v>110.3</v>
      </c>
      <c r="AR26" s="2">
        <v>110.1</v>
      </c>
      <c r="AS26" s="2">
        <v>110.2</v>
      </c>
      <c r="AT26" s="2">
        <v>110.9</v>
      </c>
      <c r="AU26" s="2">
        <v>110.6</v>
      </c>
      <c r="AV26" s="2">
        <v>110.5</v>
      </c>
      <c r="AW26" s="2">
        <v>111.2</v>
      </c>
      <c r="AX26" s="2">
        <v>110.9</v>
      </c>
      <c r="AY26" s="2">
        <v>110.9</v>
      </c>
      <c r="AZ26" s="2">
        <v>111.5</v>
      </c>
      <c r="BA26" s="2">
        <v>111.2</v>
      </c>
      <c r="BB26" s="2">
        <v>111.4</v>
      </c>
      <c r="BC26" s="2">
        <v>111.8</v>
      </c>
      <c r="BD26" s="2">
        <v>111.6</v>
      </c>
      <c r="BE26" s="2">
        <v>111.8</v>
      </c>
      <c r="BF26" s="2">
        <v>112.4</v>
      </c>
      <c r="BG26" s="2">
        <v>112.1</v>
      </c>
      <c r="BH26" s="2">
        <v>112.2</v>
      </c>
      <c r="BI26" s="2">
        <v>112.9</v>
      </c>
      <c r="BJ26" s="2">
        <v>112.6</v>
      </c>
      <c r="BK26" s="2">
        <v>112.6</v>
      </c>
      <c r="BL26" s="2">
        <v>113.4</v>
      </c>
      <c r="BM26" s="2">
        <v>113.1</v>
      </c>
      <c r="BN26" s="2">
        <v>113.0</v>
      </c>
      <c r="BO26" s="2">
        <v>113.6</v>
      </c>
      <c r="BP26" s="2">
        <v>113.3</v>
      </c>
      <c r="BQ26" s="2">
        <v>113.3</v>
      </c>
      <c r="BR26" s="2">
        <v>114.0</v>
      </c>
      <c r="BS26" s="2">
        <v>113.7</v>
      </c>
      <c r="BT26" s="2">
        <v>113.3</v>
      </c>
      <c r="BU26" s="2">
        <v>114.3</v>
      </c>
      <c r="BV26" s="2">
        <v>113.9</v>
      </c>
      <c r="BW26" s="2">
        <v>114.0</v>
      </c>
      <c r="BX26" s="2">
        <v>114.6</v>
      </c>
      <c r="BY26" s="2">
        <v>114.3</v>
      </c>
      <c r="BZ26" s="2">
        <v>114.8</v>
      </c>
      <c r="CA26" s="2">
        <v>114.9</v>
      </c>
      <c r="CB26" s="2">
        <v>114.9</v>
      </c>
      <c r="CC26" s="2">
        <v>115.5</v>
      </c>
      <c r="CD26" s="2">
        <v>115.4</v>
      </c>
      <c r="CE26" s="2">
        <v>115.4</v>
      </c>
      <c r="CF26" s="2">
        <v>116.2</v>
      </c>
      <c r="CG26" s="2">
        <v>115.6</v>
      </c>
      <c r="CH26" s="2">
        <v>115.9</v>
      </c>
      <c r="CI26" s="2">
        <v>116.7</v>
      </c>
      <c r="CJ26" s="2">
        <v>116.0</v>
      </c>
      <c r="CK26" s="2">
        <v>116.3</v>
      </c>
      <c r="CL26" s="2">
        <v>117.9</v>
      </c>
      <c r="CM26" s="2">
        <v>116.2</v>
      </c>
      <c r="CN26" s="2">
        <v>116.9</v>
      </c>
      <c r="CO26" s="2">
        <v>118.0</v>
      </c>
      <c r="CP26" s="2">
        <v>116.6</v>
      </c>
      <c r="CQ26" s="2">
        <v>117.2</v>
      </c>
      <c r="CR26" s="2">
        <v>118.5</v>
      </c>
      <c r="CS26" s="2">
        <v>117.2</v>
      </c>
      <c r="CT26" s="2">
        <v>117.8</v>
      </c>
      <c r="CU26" s="2">
        <v>119.6</v>
      </c>
      <c r="CV26" s="2">
        <v>117.3</v>
      </c>
      <c r="CW26" s="2">
        <v>118.3</v>
      </c>
      <c r="CX26" s="2">
        <v>120.1</v>
      </c>
      <c r="CY26" s="2">
        <v>117.7</v>
      </c>
      <c r="CZ26" s="2">
        <v>118.7</v>
      </c>
      <c r="DA26" s="2">
        <v>120.9</v>
      </c>
      <c r="DB26" s="2">
        <v>117.9</v>
      </c>
      <c r="DC26" s="2">
        <v>119.2</v>
      </c>
      <c r="DD26" s="2">
        <v>121.6</v>
      </c>
      <c r="DE26" s="2">
        <v>118.1</v>
      </c>
      <c r="DF26" s="2">
        <v>119.6</v>
      </c>
      <c r="DG26" s="2">
        <v>121.4</v>
      </c>
      <c r="DH26" s="2">
        <v>118.5</v>
      </c>
      <c r="DI26" s="2">
        <v>119.8</v>
      </c>
      <c r="DJ26" s="2">
        <v>122.3</v>
      </c>
      <c r="DK26" s="2">
        <v>118.8</v>
      </c>
      <c r="DL26" s="2">
        <v>120.3</v>
      </c>
      <c r="DM26" s="2">
        <v>122.5</v>
      </c>
      <c r="DN26" s="2">
        <v>119.1</v>
      </c>
      <c r="DO26" s="2">
        <v>120.6</v>
      </c>
      <c r="DP26" s="2">
        <v>123.2</v>
      </c>
      <c r="DQ26" s="2">
        <v>119.5</v>
      </c>
      <c r="DR26" s="2">
        <v>121.1</v>
      </c>
      <c r="DS26" s="2">
        <v>123.6</v>
      </c>
      <c r="DT26" s="2">
        <v>119.8</v>
      </c>
      <c r="DU26" s="2">
        <v>121.5</v>
      </c>
      <c r="DV26" s="2">
        <v>124.1</v>
      </c>
      <c r="DW26" s="2">
        <v>119.9</v>
      </c>
      <c r="DX26" s="2">
        <v>121.7</v>
      </c>
      <c r="DY26" s="2">
        <v>125.2</v>
      </c>
      <c r="DZ26" s="2">
        <v>120.3</v>
      </c>
      <c r="EA26" s="2">
        <v>122.4</v>
      </c>
      <c r="EB26" s="2">
        <v>125.5</v>
      </c>
      <c r="EC26" s="2">
        <v>120.6</v>
      </c>
      <c r="ED26" s="2">
        <v>122.7</v>
      </c>
      <c r="EE26" s="2">
        <v>125.7</v>
      </c>
      <c r="EF26" s="2">
        <v>120.8</v>
      </c>
      <c r="EG26" s="2">
        <v>122.9</v>
      </c>
      <c r="EH26" s="2">
        <v>126.5</v>
      </c>
      <c r="EI26" s="2">
        <v>121.2</v>
      </c>
      <c r="EJ26" s="2">
        <v>123.5</v>
      </c>
      <c r="EK26" s="2">
        <v>126.9</v>
      </c>
      <c r="EL26" s="2">
        <v>121.7</v>
      </c>
      <c r="EM26" s="2">
        <v>124.0</v>
      </c>
      <c r="EN26" s="2">
        <v>127.3</v>
      </c>
      <c r="EO26" s="2">
        <v>121.8</v>
      </c>
      <c r="EP26" s="2">
        <v>124.2</v>
      </c>
      <c r="EQ26" s="2">
        <v>127.0</v>
      </c>
      <c r="ER26" s="2">
        <v>122.0</v>
      </c>
      <c r="ES26" s="2">
        <v>124.2</v>
      </c>
      <c r="ET26" s="2">
        <v>127.7</v>
      </c>
      <c r="EU26" s="2">
        <v>122.2</v>
      </c>
      <c r="EV26" s="2">
        <v>124.6</v>
      </c>
      <c r="EW26" s="2">
        <v>128.3</v>
      </c>
      <c r="EX26" s="2">
        <v>122.4</v>
      </c>
      <c r="EY26" s="2">
        <v>125.0</v>
      </c>
      <c r="EZ26" s="2">
        <v>128.3</v>
      </c>
      <c r="FA26" s="2">
        <v>122.6</v>
      </c>
      <c r="FB26" s="2">
        <v>125.1</v>
      </c>
      <c r="FC26" s="2">
        <v>129.4</v>
      </c>
      <c r="FD26" s="2">
        <v>122.8</v>
      </c>
      <c r="FE26" s="2">
        <v>125.7</v>
      </c>
      <c r="FF26" s="2">
        <v>129.8</v>
      </c>
      <c r="FG26" s="2">
        <v>122.9</v>
      </c>
      <c r="FH26" s="2">
        <v>125.9</v>
      </c>
      <c r="FI26" s="2">
        <v>130.6</v>
      </c>
      <c r="FJ26" s="2">
        <v>123.5</v>
      </c>
      <c r="FK26" s="2">
        <v>126.6</v>
      </c>
      <c r="FL26" s="2">
        <v>131.5</v>
      </c>
      <c r="FM26" s="2">
        <v>124.1</v>
      </c>
      <c r="FN26" s="2">
        <v>127.3</v>
      </c>
      <c r="FO26" s="2">
        <v>132.3</v>
      </c>
      <c r="FP26" s="2">
        <v>124.5</v>
      </c>
      <c r="FQ26" s="2">
        <v>127.9</v>
      </c>
      <c r="FR26" s="2">
        <v>133.0</v>
      </c>
      <c r="FS26" s="2">
        <v>124.8</v>
      </c>
      <c r="FT26" s="2">
        <v>128.4</v>
      </c>
      <c r="FU26" s="2">
        <v>133.7</v>
      </c>
      <c r="FV26" s="2">
        <v>125.1</v>
      </c>
      <c r="FW26" s="2">
        <v>128.9</v>
      </c>
      <c r="FX26" s="2">
        <v>133.4</v>
      </c>
      <c r="FY26" s="2">
        <v>125.6</v>
      </c>
      <c r="FZ26" s="2">
        <v>129.0</v>
      </c>
      <c r="GA26" s="2">
        <v>134.3</v>
      </c>
      <c r="GB26" s="2">
        <v>126.2</v>
      </c>
      <c r="GC26" s="2">
        <v>129.7</v>
      </c>
      <c r="GD26" s="2">
        <v>134.3</v>
      </c>
      <c r="GE26" s="2">
        <v>126.5</v>
      </c>
      <c r="GF26" s="2">
        <v>129.9</v>
      </c>
      <c r="GG26" s="2">
        <v>135.1</v>
      </c>
      <c r="GH26" s="2">
        <v>126.8</v>
      </c>
      <c r="GI26" s="2">
        <v>130.4</v>
      </c>
      <c r="GJ26" s="2">
        <v>136.0</v>
      </c>
      <c r="GK26" s="2">
        <v>127.6</v>
      </c>
      <c r="GL26" s="2">
        <v>131.3</v>
      </c>
      <c r="GM26" s="2">
        <v>136.8</v>
      </c>
      <c r="GN26" s="2">
        <v>128.0</v>
      </c>
      <c r="GO26" s="2">
        <v>131.8</v>
      </c>
      <c r="GP26" s="2">
        <v>137.8</v>
      </c>
      <c r="GQ26" s="2">
        <v>128.5</v>
      </c>
      <c r="GR26" s="2">
        <v>132.6</v>
      </c>
      <c r="GS26" s="2">
        <v>138.4</v>
      </c>
      <c r="GT26" s="2">
        <v>129.0</v>
      </c>
      <c r="GU26" s="2">
        <v>133.1</v>
      </c>
      <c r="GV26" s="2">
        <v>138.6</v>
      </c>
      <c r="GW26" s="2">
        <v>129.8</v>
      </c>
      <c r="GX26" s="2">
        <v>133.6</v>
      </c>
      <c r="GY26" s="2">
        <v>140.0</v>
      </c>
      <c r="GZ26" s="2">
        <v>130.2</v>
      </c>
      <c r="HA26" s="2">
        <v>134.5</v>
      </c>
      <c r="HB26" s="2">
        <v>140.1</v>
      </c>
      <c r="HC26" s="2">
        <v>130.7</v>
      </c>
      <c r="HD26" s="2">
        <v>136.5</v>
      </c>
      <c r="HE26" s="2">
        <v>143.1</v>
      </c>
      <c r="HF26" s="2">
        <v>131.3</v>
      </c>
      <c r="HG26" s="2">
        <v>136.5</v>
      </c>
      <c r="HH26" s="2">
        <v>143.3</v>
      </c>
      <c r="HI26" s="2">
        <v>131.7</v>
      </c>
      <c r="HJ26" s="2">
        <v>136.8</v>
      </c>
      <c r="HK26" s="2">
        <v>142.9</v>
      </c>
      <c r="HL26" s="2">
        <v>131.9</v>
      </c>
      <c r="HM26" s="2">
        <v>136.7</v>
      </c>
      <c r="HN26" s="2">
        <v>143.4</v>
      </c>
      <c r="HO26" s="2">
        <v>132.2</v>
      </c>
      <c r="HP26" s="2">
        <v>137.1</v>
      </c>
      <c r="HQ26" s="2">
        <v>143.8</v>
      </c>
      <c r="HR26" s="2">
        <v>133.0</v>
      </c>
      <c r="HS26" s="2">
        <v>137.7</v>
      </c>
      <c r="HT26" s="2">
        <v>145.9</v>
      </c>
      <c r="HU26" s="2">
        <v>134.0</v>
      </c>
      <c r="HV26" s="2">
        <v>139.2</v>
      </c>
      <c r="HW26" s="2">
        <v>146.4</v>
      </c>
      <c r="HX26" s="2">
        <v>134.3</v>
      </c>
      <c r="HY26" s="2">
        <v>139.6</v>
      </c>
      <c r="HZ26" s="2">
        <v>147.5</v>
      </c>
      <c r="IA26" s="2">
        <v>135.0</v>
      </c>
      <c r="IB26" s="2">
        <v>140.5</v>
      </c>
      <c r="IC26" s="2">
        <v>148.0</v>
      </c>
      <c r="ID26" s="2">
        <v>135.4</v>
      </c>
      <c r="IE26" s="2">
        <v>140.9</v>
      </c>
      <c r="IF26" s="2">
        <v>148.3</v>
      </c>
      <c r="IG26" s="2">
        <v>135.9</v>
      </c>
      <c r="IH26" s="2">
        <v>141.3</v>
      </c>
      <c r="II26" s="2">
        <v>148.7</v>
      </c>
      <c r="IJ26" s="2">
        <v>136.2</v>
      </c>
      <c r="IK26" s="2">
        <v>141.7</v>
      </c>
      <c r="IL26" s="2">
        <v>149.1</v>
      </c>
      <c r="IM26" s="2">
        <v>136.7</v>
      </c>
      <c r="IN26" s="2">
        <v>142.1</v>
      </c>
      <c r="IO26" s="2">
        <v>149.5</v>
      </c>
      <c r="IP26" s="2">
        <v>136.8</v>
      </c>
      <c r="IQ26" s="2">
        <v>142.3</v>
      </c>
      <c r="IR26" s="2">
        <v>150.1</v>
      </c>
      <c r="IS26" s="2">
        <v>137.2</v>
      </c>
      <c r="IT26" s="2">
        <v>142.8</v>
      </c>
      <c r="IU26" s="2">
        <v>150.4</v>
      </c>
      <c r="IV26" s="2">
        <v>137.7</v>
      </c>
      <c r="IW26" s="2">
        <v>143.2</v>
      </c>
      <c r="IX26" s="2">
        <v>151.2</v>
      </c>
      <c r="IY26" s="2">
        <v>137.9</v>
      </c>
      <c r="IZ26" s="2">
        <v>143.7</v>
      </c>
      <c r="JA26" s="2" t="s">
        <v>32</v>
      </c>
      <c r="JB26" s="2" t="s">
        <v>32</v>
      </c>
      <c r="JC26" s="2" t="s">
        <v>32</v>
      </c>
      <c r="JD26" s="2" t="s">
        <v>32</v>
      </c>
      <c r="JE26" s="2" t="s">
        <v>32</v>
      </c>
      <c r="JF26" s="2" t="s">
        <v>32</v>
      </c>
      <c r="JG26" s="2">
        <v>153.2</v>
      </c>
      <c r="JH26" s="2">
        <v>144.5</v>
      </c>
      <c r="JI26" s="2">
        <v>148.3</v>
      </c>
      <c r="JJ26" s="2">
        <v>153.2</v>
      </c>
      <c r="JK26" s="2">
        <v>144.5</v>
      </c>
      <c r="JL26" s="2">
        <v>148.3</v>
      </c>
      <c r="JM26" s="2">
        <v>152.2</v>
      </c>
      <c r="JN26" s="2">
        <v>141.2</v>
      </c>
      <c r="JO26" s="2">
        <v>146.0</v>
      </c>
      <c r="JP26" s="2">
        <v>152.8</v>
      </c>
      <c r="JQ26" s="2">
        <v>141.8</v>
      </c>
      <c r="JR26" s="2">
        <v>146.6</v>
      </c>
      <c r="JS26" s="2">
        <v>152.4</v>
      </c>
      <c r="JT26" s="2">
        <v>142.0</v>
      </c>
      <c r="JU26" s="2">
        <v>146.5</v>
      </c>
      <c r="JV26" s="2">
        <v>153.6</v>
      </c>
      <c r="JW26" s="2">
        <v>144.4</v>
      </c>
      <c r="JX26" s="2">
        <v>148.4</v>
      </c>
      <c r="JY26" s="2">
        <v>153.9</v>
      </c>
      <c r="JZ26" s="2">
        <v>144.3</v>
      </c>
      <c r="KA26" s="2">
        <v>148.5</v>
      </c>
      <c r="KB26" s="2">
        <v>155.1</v>
      </c>
      <c r="KC26" s="2">
        <v>145.4</v>
      </c>
      <c r="KD26" s="2">
        <v>149.6</v>
      </c>
      <c r="KE26" s="2">
        <v>157.0</v>
      </c>
      <c r="KF26" s="2">
        <v>147.3</v>
      </c>
      <c r="KG26" s="2">
        <v>151.5</v>
      </c>
      <c r="KH26" s="2">
        <v>157.8</v>
      </c>
      <c r="KI26" s="2">
        <v>148.6</v>
      </c>
      <c r="KJ26" s="2">
        <v>152.6</v>
      </c>
      <c r="KK26" s="2">
        <v>158.6</v>
      </c>
      <c r="KL26" s="2">
        <v>149.1</v>
      </c>
      <c r="KM26" s="2">
        <v>153.2</v>
      </c>
      <c r="KN26" s="2">
        <v>160.0</v>
      </c>
      <c r="KO26" s="2">
        <v>152.6</v>
      </c>
      <c r="KP26" s="2">
        <v>155.8</v>
      </c>
      <c r="KQ26" s="2">
        <v>160.4</v>
      </c>
      <c r="KR26" s="2">
        <v>150.7</v>
      </c>
      <c r="KS26" s="2">
        <v>154.9</v>
      </c>
      <c r="KT26" s="2">
        <v>160.7</v>
      </c>
      <c r="KU26" s="2">
        <v>151.2</v>
      </c>
      <c r="KV26" s="2">
        <v>155.3</v>
      </c>
      <c r="KW26" s="2">
        <v>161.1</v>
      </c>
      <c r="KX26" s="2">
        <v>153.7</v>
      </c>
      <c r="KY26" s="2">
        <v>157.6</v>
      </c>
      <c r="KZ26" s="2">
        <v>162.7</v>
      </c>
      <c r="LA26" s="2">
        <v>153.9</v>
      </c>
      <c r="LB26" s="2">
        <v>157.7</v>
      </c>
      <c r="LC26" s="2">
        <v>163.2</v>
      </c>
      <c r="LD26" s="2">
        <v>155.1</v>
      </c>
      <c r="LE26" s="2">
        <v>158.6</v>
      </c>
      <c r="LF26" s="2">
        <v>163.8</v>
      </c>
      <c r="LG26" s="2">
        <v>156.7</v>
      </c>
      <c r="LH26" s="2">
        <v>159.8</v>
      </c>
      <c r="LI26" s="2">
        <v>164.5</v>
      </c>
      <c r="LJ26" s="2">
        <v>157.6</v>
      </c>
      <c r="LK26" s="2">
        <v>160.6</v>
      </c>
      <c r="LL26" s="2">
        <v>164.9</v>
      </c>
      <c r="LM26" s="2">
        <v>158.4</v>
      </c>
      <c r="LN26" s="2">
        <v>161.2</v>
      </c>
      <c r="LO26" s="2">
        <v>165.5</v>
      </c>
      <c r="LP26" s="2">
        <v>159.5</v>
      </c>
      <c r="LQ26" s="2">
        <v>162.1</v>
      </c>
      <c r="LR26" s="2">
        <v>166.6</v>
      </c>
      <c r="LS26" s="2">
        <v>160.8</v>
      </c>
      <c r="LT26" s="2">
        <v>163.3</v>
      </c>
      <c r="LU26" s="2">
        <v>167.2</v>
      </c>
      <c r="LV26" s="2">
        <v>162.2</v>
      </c>
      <c r="LW26" s="2">
        <v>164.4</v>
      </c>
      <c r="LX26" s="2">
        <v>167.6</v>
      </c>
      <c r="LY26" s="2">
        <v>163.2</v>
      </c>
      <c r="LZ26" s="2">
        <v>165.1</v>
      </c>
      <c r="MA26" s="2">
        <v>168.0</v>
      </c>
      <c r="MB26" s="2">
        <v>164.1</v>
      </c>
      <c r="MC26" s="2">
        <v>165.8</v>
      </c>
      <c r="MD26" s="2">
        <v>168.6</v>
      </c>
      <c r="ME26" s="2">
        <v>164.6</v>
      </c>
      <c r="MF26" s="2">
        <v>166.3</v>
      </c>
      <c r="MG26" s="2">
        <v>169.3</v>
      </c>
      <c r="MH26" s="2">
        <v>165.1</v>
      </c>
      <c r="MI26" s="2">
        <v>166.9</v>
      </c>
      <c r="MJ26" s="2">
        <v>170.0</v>
      </c>
      <c r="MK26" s="2">
        <v>165.8</v>
      </c>
      <c r="ML26" s="2">
        <v>167.6</v>
      </c>
      <c r="MM26" s="2">
        <v>170.6</v>
      </c>
      <c r="MN26" s="2">
        <v>166.3</v>
      </c>
      <c r="MO26" s="2">
        <v>168.2</v>
      </c>
      <c r="MP26" s="2">
        <v>170.8</v>
      </c>
      <c r="MQ26" s="2">
        <v>166.7</v>
      </c>
      <c r="MR26" s="2">
        <v>168.5</v>
      </c>
      <c r="MS26" s="2">
        <v>171.2</v>
      </c>
      <c r="MT26" s="2">
        <v>167.1</v>
      </c>
      <c r="MU26" s="2">
        <v>168.9</v>
      </c>
      <c r="MV26" s="2">
        <v>171.8</v>
      </c>
      <c r="MW26" s="2">
        <v>167.8</v>
      </c>
      <c r="MX26" s="2">
        <v>169.5</v>
      </c>
      <c r="MY26" s="2">
        <v>172.8</v>
      </c>
      <c r="MZ26" s="2">
        <v>168.4</v>
      </c>
      <c r="NA26" s="2">
        <v>170.3</v>
      </c>
      <c r="NB26" s="2">
        <v>172.8</v>
      </c>
      <c r="NC26" s="2">
        <v>168.4</v>
      </c>
      <c r="ND26" s="2">
        <v>170.3</v>
      </c>
      <c r="NE26" s="2">
        <v>173.2</v>
      </c>
      <c r="NF26" s="2">
        <v>168.8</v>
      </c>
      <c r="NG26" s="2">
        <v>170.7</v>
      </c>
      <c r="NH26" s="2">
        <v>173.8</v>
      </c>
      <c r="NI26" s="2">
        <v>169.2</v>
      </c>
      <c r="NJ26" s="2">
        <v>171.2</v>
      </c>
    </row>
    <row r="27" ht="15.75" customHeight="1">
      <c r="A27" s="2" t="s">
        <v>26</v>
      </c>
      <c r="B27" s="2" t="str">
        <f>VLOOKUP(A27, NOTES!C28:D53, 2,0)</f>
        <v>Social and Miscellaneous</v>
      </c>
      <c r="C27" s="2">
        <v>103.8</v>
      </c>
      <c r="D27" s="2">
        <v>103.5</v>
      </c>
      <c r="E27" s="2">
        <f>SUMPRODUCT((Sheet3!$MA$1:$NJ$1="Rural+Urban")*(Sheet3!$A$4:$A$13=QUES_3!K28)*Sheet3!$MA$4:$NJ$13)</f>
        <v>2061.4</v>
      </c>
      <c r="F27" s="4">
        <f t="shared" si="1"/>
        <v>0.2390888319</v>
      </c>
      <c r="G27" s="2">
        <v>103.7</v>
      </c>
      <c r="H27" s="2">
        <v>103.9</v>
      </c>
      <c r="I27" s="2">
        <v>104.3</v>
      </c>
      <c r="J27" s="2">
        <v>103.8</v>
      </c>
      <c r="K27" s="2">
        <v>104.0</v>
      </c>
      <c r="L27" s="2">
        <v>104.8</v>
      </c>
      <c r="M27" s="2">
        <v>105.2</v>
      </c>
      <c r="N27" s="2">
        <v>105.0</v>
      </c>
      <c r="O27" s="2">
        <v>105.5</v>
      </c>
      <c r="P27" s="2">
        <v>105.7</v>
      </c>
      <c r="Q27" s="2">
        <v>105.6</v>
      </c>
      <c r="R27" s="2">
        <v>106.5</v>
      </c>
      <c r="S27" s="2">
        <v>108.1</v>
      </c>
      <c r="T27" s="2">
        <v>107.4</v>
      </c>
      <c r="U27" s="2">
        <v>107.8</v>
      </c>
      <c r="V27" s="2">
        <v>110.1</v>
      </c>
      <c r="W27" s="2">
        <v>109.1</v>
      </c>
      <c r="X27" s="2">
        <v>108.7</v>
      </c>
      <c r="Y27" s="2">
        <v>110.8</v>
      </c>
      <c r="Z27" s="2">
        <v>109.9</v>
      </c>
      <c r="AA27" s="2">
        <v>109.8</v>
      </c>
      <c r="AB27" s="2">
        <v>111.2</v>
      </c>
      <c r="AC27" s="2">
        <v>110.6</v>
      </c>
      <c r="AD27" s="2">
        <v>110.2</v>
      </c>
      <c r="AE27" s="2">
        <v>111.3</v>
      </c>
      <c r="AF27" s="2">
        <v>110.8</v>
      </c>
      <c r="AG27" s="2">
        <v>111.0</v>
      </c>
      <c r="AH27" s="2">
        <v>111.3</v>
      </c>
      <c r="AI27" s="2">
        <v>111.2</v>
      </c>
      <c r="AJ27" s="2">
        <v>111.6</v>
      </c>
      <c r="AK27" s="2">
        <v>111.4</v>
      </c>
      <c r="AL27" s="2">
        <v>111.5</v>
      </c>
      <c r="AM27" s="2">
        <v>111.8</v>
      </c>
      <c r="AN27" s="2">
        <v>111.5</v>
      </c>
      <c r="AO27" s="2">
        <v>111.6</v>
      </c>
      <c r="AP27" s="2">
        <v>112.0</v>
      </c>
      <c r="AQ27" s="2">
        <v>111.6</v>
      </c>
      <c r="AR27" s="2">
        <v>111.8</v>
      </c>
      <c r="AS27" s="2">
        <v>112.4</v>
      </c>
      <c r="AT27" s="2">
        <v>111.8</v>
      </c>
      <c r="AU27" s="2">
        <v>112.0</v>
      </c>
      <c r="AV27" s="2">
        <v>113.0</v>
      </c>
      <c r="AW27" s="2">
        <v>112.5</v>
      </c>
      <c r="AX27" s="2">
        <v>112.7</v>
      </c>
      <c r="AY27" s="2">
        <v>113.1</v>
      </c>
      <c r="AZ27" s="2">
        <v>112.9</v>
      </c>
      <c r="BA27" s="2">
        <v>113.0</v>
      </c>
      <c r="BB27" s="2">
        <v>114.3</v>
      </c>
      <c r="BC27" s="2">
        <v>115.1</v>
      </c>
      <c r="BD27" s="2">
        <v>114.8</v>
      </c>
      <c r="BE27" s="2">
        <v>115.5</v>
      </c>
      <c r="BF27" s="2">
        <v>117.8</v>
      </c>
      <c r="BG27" s="2">
        <v>116.8</v>
      </c>
      <c r="BH27" s="2">
        <v>116.2</v>
      </c>
      <c r="BI27" s="2">
        <v>119.2</v>
      </c>
      <c r="BJ27" s="2">
        <v>118.0</v>
      </c>
      <c r="BK27" s="2">
        <v>116.6</v>
      </c>
      <c r="BL27" s="2">
        <v>120.0</v>
      </c>
      <c r="BM27" s="2">
        <v>118.6</v>
      </c>
      <c r="BN27" s="2">
        <v>116.9</v>
      </c>
      <c r="BO27" s="2">
        <v>120.2</v>
      </c>
      <c r="BP27" s="2">
        <v>118.8</v>
      </c>
      <c r="BQ27" s="2">
        <v>117.2</v>
      </c>
      <c r="BR27" s="2">
        <v>120.3</v>
      </c>
      <c r="BS27" s="2">
        <v>119.0</v>
      </c>
      <c r="BT27" s="2">
        <v>117.7</v>
      </c>
      <c r="BU27" s="2">
        <v>120.7</v>
      </c>
      <c r="BV27" s="2">
        <v>119.5</v>
      </c>
      <c r="BW27" s="2">
        <v>118.2</v>
      </c>
      <c r="BX27" s="2">
        <v>120.8</v>
      </c>
      <c r="BY27" s="2">
        <v>119.7</v>
      </c>
      <c r="BZ27" s="2">
        <v>118.7</v>
      </c>
      <c r="CA27" s="2">
        <v>120.4</v>
      </c>
      <c r="CB27" s="2">
        <v>119.7</v>
      </c>
      <c r="CC27" s="2">
        <v>119.4</v>
      </c>
      <c r="CD27" s="2">
        <v>120.6</v>
      </c>
      <c r="CE27" s="2">
        <v>120.1</v>
      </c>
      <c r="CF27" s="2">
        <v>119.9</v>
      </c>
      <c r="CG27" s="2">
        <v>121.7</v>
      </c>
      <c r="CH27" s="2">
        <v>121.0</v>
      </c>
      <c r="CI27" s="2">
        <v>120.5</v>
      </c>
      <c r="CJ27" s="2">
        <v>122.0</v>
      </c>
      <c r="CK27" s="2">
        <v>121.4</v>
      </c>
      <c r="CL27" s="2">
        <v>122.0</v>
      </c>
      <c r="CM27" s="2">
        <v>123.8</v>
      </c>
      <c r="CN27" s="2">
        <v>123.1</v>
      </c>
      <c r="CO27" s="2">
        <v>122.9</v>
      </c>
      <c r="CP27" s="2">
        <v>125.4</v>
      </c>
      <c r="CQ27" s="2">
        <v>124.4</v>
      </c>
      <c r="CR27" s="2">
        <v>123.6</v>
      </c>
      <c r="CS27" s="2">
        <v>126.2</v>
      </c>
      <c r="CT27" s="2">
        <v>125.1</v>
      </c>
      <c r="CU27" s="2">
        <v>124.5</v>
      </c>
      <c r="CV27" s="2">
        <v>126.5</v>
      </c>
      <c r="CW27" s="2">
        <v>125.7</v>
      </c>
      <c r="CX27" s="2">
        <v>125.1</v>
      </c>
      <c r="CY27" s="2">
        <v>126.5</v>
      </c>
      <c r="CZ27" s="2">
        <v>125.9</v>
      </c>
      <c r="DA27" s="2">
        <v>125.8</v>
      </c>
      <c r="DB27" s="2">
        <v>126.6</v>
      </c>
      <c r="DC27" s="2">
        <v>126.3</v>
      </c>
      <c r="DD27" s="2">
        <v>125.6</v>
      </c>
      <c r="DE27" s="2">
        <v>126.6</v>
      </c>
      <c r="DF27" s="2">
        <v>126.2</v>
      </c>
      <c r="DG27" s="2">
        <v>126.2</v>
      </c>
      <c r="DH27" s="2">
        <v>126.4</v>
      </c>
      <c r="DI27" s="2">
        <v>126.3</v>
      </c>
      <c r="DJ27" s="2">
        <v>127.1</v>
      </c>
      <c r="DK27" s="2">
        <v>126.3</v>
      </c>
      <c r="DL27" s="2">
        <v>126.6</v>
      </c>
      <c r="DM27" s="2">
        <v>127.5</v>
      </c>
      <c r="DN27" s="2">
        <v>126.4</v>
      </c>
      <c r="DO27" s="2">
        <v>126.9</v>
      </c>
      <c r="DP27" s="2">
        <v>127.9</v>
      </c>
      <c r="DQ27" s="2">
        <v>127.6</v>
      </c>
      <c r="DR27" s="2">
        <v>127.7</v>
      </c>
      <c r="DS27" s="2">
        <v>129.1</v>
      </c>
      <c r="DT27" s="2">
        <v>128.0</v>
      </c>
      <c r="DU27" s="2">
        <v>128.5</v>
      </c>
      <c r="DV27" s="2">
        <v>130.2</v>
      </c>
      <c r="DW27" s="2">
        <v>129.3</v>
      </c>
      <c r="DX27" s="2">
        <v>129.7</v>
      </c>
      <c r="DY27" s="2">
        <v>130.8</v>
      </c>
      <c r="DZ27" s="2">
        <v>130.8</v>
      </c>
      <c r="EA27" s="2">
        <v>130.8</v>
      </c>
      <c r="EB27" s="2">
        <v>131.9</v>
      </c>
      <c r="EC27" s="2">
        <v>131.5</v>
      </c>
      <c r="ED27" s="2">
        <v>131.7</v>
      </c>
      <c r="EE27" s="2">
        <v>132.2</v>
      </c>
      <c r="EF27" s="2">
        <v>131.6</v>
      </c>
      <c r="EG27" s="2">
        <v>131.8</v>
      </c>
      <c r="EH27" s="2">
        <v>133.0</v>
      </c>
      <c r="EI27" s="2">
        <v>131.9</v>
      </c>
      <c r="EJ27" s="2">
        <v>132.4</v>
      </c>
      <c r="EK27" s="2">
        <v>133.7</v>
      </c>
      <c r="EL27" s="2">
        <v>132.1</v>
      </c>
      <c r="EM27" s="2">
        <v>132.8</v>
      </c>
      <c r="EN27" s="2">
        <v>134.2</v>
      </c>
      <c r="EO27" s="2">
        <v>132.3</v>
      </c>
      <c r="EP27" s="2">
        <v>133.1</v>
      </c>
      <c r="EQ27" s="2">
        <v>134.6</v>
      </c>
      <c r="ER27" s="2">
        <v>132.4</v>
      </c>
      <c r="ES27" s="2">
        <v>133.3</v>
      </c>
      <c r="ET27" s="2">
        <v>134.9</v>
      </c>
      <c r="EU27" s="2">
        <v>132.4</v>
      </c>
      <c r="EV27" s="2">
        <v>133.4</v>
      </c>
      <c r="EW27" s="2">
        <v>135.2</v>
      </c>
      <c r="EX27" s="2">
        <v>132.8</v>
      </c>
      <c r="EY27" s="2">
        <v>133.8</v>
      </c>
      <c r="EZ27" s="2">
        <v>135.7</v>
      </c>
      <c r="FA27" s="2">
        <v>133.6</v>
      </c>
      <c r="FB27" s="2">
        <v>134.5</v>
      </c>
      <c r="FC27" s="2">
        <v>136.3</v>
      </c>
      <c r="FD27" s="2">
        <v>133.8</v>
      </c>
      <c r="FE27" s="2">
        <v>134.8</v>
      </c>
      <c r="FF27" s="2">
        <v>136.9</v>
      </c>
      <c r="FG27" s="2">
        <v>134.3</v>
      </c>
      <c r="FH27" s="2">
        <v>135.4</v>
      </c>
      <c r="FI27" s="2">
        <v>138.6</v>
      </c>
      <c r="FJ27" s="2">
        <v>135.5</v>
      </c>
      <c r="FK27" s="2">
        <v>136.8</v>
      </c>
      <c r="FL27" s="2">
        <v>140.2</v>
      </c>
      <c r="FM27" s="2">
        <v>135.7</v>
      </c>
      <c r="FN27" s="2">
        <v>137.6</v>
      </c>
      <c r="FO27" s="2">
        <v>139.6</v>
      </c>
      <c r="FP27" s="2">
        <v>135.9</v>
      </c>
      <c r="FQ27" s="2">
        <v>137.4</v>
      </c>
      <c r="FR27" s="2">
        <v>140.1</v>
      </c>
      <c r="FS27" s="2">
        <v>136.3</v>
      </c>
      <c r="FT27" s="2">
        <v>137.9</v>
      </c>
      <c r="FU27" s="2">
        <v>141.5</v>
      </c>
      <c r="FV27" s="2">
        <v>136.6</v>
      </c>
      <c r="FW27" s="2">
        <v>138.6</v>
      </c>
      <c r="FX27" s="2">
        <v>141.1</v>
      </c>
      <c r="FY27" s="2">
        <v>136.7</v>
      </c>
      <c r="FZ27" s="2">
        <v>138.5</v>
      </c>
      <c r="GA27" s="2">
        <v>141.6</v>
      </c>
      <c r="GB27" s="2">
        <v>137.1</v>
      </c>
      <c r="GC27" s="2">
        <v>139.0</v>
      </c>
      <c r="GD27" s="2">
        <v>141.5</v>
      </c>
      <c r="GE27" s="2">
        <v>137.2</v>
      </c>
      <c r="GF27" s="2">
        <v>139.0</v>
      </c>
      <c r="GG27" s="2">
        <v>142.7</v>
      </c>
      <c r="GH27" s="2">
        <v>137.8</v>
      </c>
      <c r="GI27" s="2">
        <v>139.8</v>
      </c>
      <c r="GJ27" s="2">
        <v>143.7</v>
      </c>
      <c r="GK27" s="2">
        <v>139.7</v>
      </c>
      <c r="GL27" s="2">
        <v>141.4</v>
      </c>
      <c r="GM27" s="2">
        <v>144.4</v>
      </c>
      <c r="GN27" s="2">
        <v>140.4</v>
      </c>
      <c r="GO27" s="2">
        <v>142.1</v>
      </c>
      <c r="GP27" s="2">
        <v>145.1</v>
      </c>
      <c r="GQ27" s="2">
        <v>141.2</v>
      </c>
      <c r="GR27" s="2">
        <v>142.8</v>
      </c>
      <c r="GS27" s="2">
        <v>145.8</v>
      </c>
      <c r="GT27" s="2">
        <v>144.0</v>
      </c>
      <c r="GU27" s="2">
        <v>144.7</v>
      </c>
      <c r="GV27" s="2">
        <v>146.9</v>
      </c>
      <c r="GW27" s="2">
        <v>145.3</v>
      </c>
      <c r="GX27" s="2">
        <v>146.0</v>
      </c>
      <c r="GY27" s="2">
        <v>147.6</v>
      </c>
      <c r="GZ27" s="2">
        <v>145.2</v>
      </c>
      <c r="HA27" s="2">
        <v>146.2</v>
      </c>
      <c r="HB27" s="2">
        <v>148.0</v>
      </c>
      <c r="HC27" s="2">
        <v>145.5</v>
      </c>
      <c r="HD27" s="2">
        <v>147.8</v>
      </c>
      <c r="HE27" s="2">
        <v>150.2</v>
      </c>
      <c r="HF27" s="2">
        <v>146.1</v>
      </c>
      <c r="HG27" s="2">
        <v>147.8</v>
      </c>
      <c r="HH27" s="2">
        <v>155.1</v>
      </c>
      <c r="HI27" s="2">
        <v>146.5</v>
      </c>
      <c r="HJ27" s="2">
        <v>150.1</v>
      </c>
      <c r="HK27" s="2">
        <v>155.2</v>
      </c>
      <c r="HL27" s="2">
        <v>146.6</v>
      </c>
      <c r="HM27" s="2">
        <v>150.2</v>
      </c>
      <c r="HN27" s="2">
        <v>155.5</v>
      </c>
      <c r="HO27" s="2">
        <v>146.6</v>
      </c>
      <c r="HP27" s="2">
        <v>150.3</v>
      </c>
      <c r="HQ27" s="2">
        <v>155.5</v>
      </c>
      <c r="HR27" s="2">
        <v>146.7</v>
      </c>
      <c r="HS27" s="2">
        <v>150.3</v>
      </c>
      <c r="HT27" s="2">
        <v>156.7</v>
      </c>
      <c r="HU27" s="2">
        <v>148.0</v>
      </c>
      <c r="HV27" s="2">
        <v>151.6</v>
      </c>
      <c r="HW27" s="2">
        <v>157.7</v>
      </c>
      <c r="HX27" s="2">
        <v>148.9</v>
      </c>
      <c r="HY27" s="2">
        <v>152.5</v>
      </c>
      <c r="HZ27" s="2">
        <v>159.1</v>
      </c>
      <c r="IA27" s="2">
        <v>150.4</v>
      </c>
      <c r="IB27" s="2">
        <v>154.0</v>
      </c>
      <c r="IC27" s="2">
        <v>159.7</v>
      </c>
      <c r="ID27" s="2">
        <v>151.5</v>
      </c>
      <c r="IE27" s="2">
        <v>154.9</v>
      </c>
      <c r="IF27" s="2">
        <v>160.2</v>
      </c>
      <c r="IG27" s="2">
        <v>151.6</v>
      </c>
      <c r="IH27" s="2">
        <v>155.2</v>
      </c>
      <c r="II27" s="2">
        <v>160.7</v>
      </c>
      <c r="IJ27" s="2">
        <v>151.7</v>
      </c>
      <c r="IK27" s="2">
        <v>155.4</v>
      </c>
      <c r="IL27" s="2">
        <v>160.8</v>
      </c>
      <c r="IM27" s="2">
        <v>151.8</v>
      </c>
      <c r="IN27" s="2">
        <v>155.5</v>
      </c>
      <c r="IO27" s="2">
        <v>161.1</v>
      </c>
      <c r="IP27" s="2">
        <v>151.9</v>
      </c>
      <c r="IQ27" s="2">
        <v>155.7</v>
      </c>
      <c r="IR27" s="2">
        <v>161.7</v>
      </c>
      <c r="IS27" s="2">
        <v>152.1</v>
      </c>
      <c r="IT27" s="2">
        <v>156.1</v>
      </c>
      <c r="IU27" s="2">
        <v>161.9</v>
      </c>
      <c r="IV27" s="2">
        <v>152.2</v>
      </c>
      <c r="IW27" s="2">
        <v>156.2</v>
      </c>
      <c r="IX27" s="2">
        <v>161.2</v>
      </c>
      <c r="IY27" s="2">
        <v>152.5</v>
      </c>
      <c r="IZ27" s="2">
        <v>156.1</v>
      </c>
      <c r="JA27" s="2" t="s">
        <v>32</v>
      </c>
      <c r="JB27" s="2" t="s">
        <v>32</v>
      </c>
      <c r="JC27" s="2" t="s">
        <v>32</v>
      </c>
      <c r="JD27" s="2" t="s">
        <v>32</v>
      </c>
      <c r="JE27" s="2" t="s">
        <v>32</v>
      </c>
      <c r="JF27" s="2" t="s">
        <v>32</v>
      </c>
      <c r="JG27" s="2">
        <v>161.8</v>
      </c>
      <c r="JH27" s="2">
        <v>152.5</v>
      </c>
      <c r="JI27" s="2">
        <v>156.4</v>
      </c>
      <c r="JJ27" s="2">
        <v>161.8</v>
      </c>
      <c r="JK27" s="2">
        <v>152.5</v>
      </c>
      <c r="JL27" s="2">
        <v>156.4</v>
      </c>
      <c r="JM27" s="2">
        <v>162.7</v>
      </c>
      <c r="JN27" s="2">
        <v>155.5</v>
      </c>
      <c r="JO27" s="2">
        <v>158.5</v>
      </c>
      <c r="JP27" s="2">
        <v>161.1</v>
      </c>
      <c r="JQ27" s="2">
        <v>154.9</v>
      </c>
      <c r="JR27" s="2">
        <v>157.5</v>
      </c>
      <c r="JS27" s="2">
        <v>162.5</v>
      </c>
      <c r="JT27" s="2">
        <v>155.7</v>
      </c>
      <c r="JU27" s="2">
        <v>158.5</v>
      </c>
      <c r="JV27" s="2">
        <v>161.6</v>
      </c>
      <c r="JW27" s="2">
        <v>156.4</v>
      </c>
      <c r="JX27" s="2">
        <v>158.6</v>
      </c>
      <c r="JY27" s="2">
        <v>162.9</v>
      </c>
      <c r="JZ27" s="2">
        <v>156.9</v>
      </c>
      <c r="KA27" s="2">
        <v>159.4</v>
      </c>
      <c r="KB27" s="2">
        <v>163.5</v>
      </c>
      <c r="KC27" s="2">
        <v>156.1</v>
      </c>
      <c r="KD27" s="2">
        <v>159.2</v>
      </c>
      <c r="KE27" s="2">
        <v>163.6</v>
      </c>
      <c r="KF27" s="2">
        <v>156.6</v>
      </c>
      <c r="KG27" s="2">
        <v>159.5</v>
      </c>
      <c r="KH27" s="2">
        <v>163.8</v>
      </c>
      <c r="KI27" s="2">
        <v>157.6</v>
      </c>
      <c r="KJ27" s="2">
        <v>160.2</v>
      </c>
      <c r="KK27" s="2">
        <v>164.1</v>
      </c>
      <c r="KL27" s="2">
        <v>157.6</v>
      </c>
      <c r="KM27" s="2">
        <v>160.3</v>
      </c>
      <c r="KN27" s="2">
        <v>167.6</v>
      </c>
      <c r="KO27" s="2">
        <v>156.6</v>
      </c>
      <c r="KP27" s="2">
        <v>161.2</v>
      </c>
      <c r="KQ27" s="2">
        <v>166.8</v>
      </c>
      <c r="KR27" s="2">
        <v>158.1</v>
      </c>
      <c r="KS27" s="2">
        <v>161.7</v>
      </c>
      <c r="KT27" s="2">
        <v>167.2</v>
      </c>
      <c r="KU27" s="2">
        <v>160.3</v>
      </c>
      <c r="KV27" s="2">
        <v>163.2</v>
      </c>
      <c r="KW27" s="2">
        <v>167.5</v>
      </c>
      <c r="KX27" s="2">
        <v>160.4</v>
      </c>
      <c r="KY27" s="2">
        <v>163.8</v>
      </c>
      <c r="KZ27" s="2">
        <v>168.5</v>
      </c>
      <c r="LA27" s="2">
        <v>160.3</v>
      </c>
      <c r="LB27" s="2">
        <v>163.7</v>
      </c>
      <c r="LC27" s="2">
        <v>169.0</v>
      </c>
      <c r="LD27" s="2">
        <v>160.3</v>
      </c>
      <c r="LE27" s="2">
        <v>163.9</v>
      </c>
      <c r="LF27" s="2">
        <v>169.3</v>
      </c>
      <c r="LG27" s="2">
        <v>160.8</v>
      </c>
      <c r="LH27" s="2">
        <v>164.3</v>
      </c>
      <c r="LI27" s="2">
        <v>169.7</v>
      </c>
      <c r="LJ27" s="2">
        <v>160.6</v>
      </c>
      <c r="LK27" s="2">
        <v>164.4</v>
      </c>
      <c r="LL27" s="2">
        <v>169.9</v>
      </c>
      <c r="LM27" s="2">
        <v>161.0</v>
      </c>
      <c r="LN27" s="2">
        <v>164.7</v>
      </c>
      <c r="LO27" s="2">
        <v>170.3</v>
      </c>
      <c r="LP27" s="2">
        <v>162.0</v>
      </c>
      <c r="LQ27" s="2">
        <v>165.4</v>
      </c>
      <c r="LR27" s="2">
        <v>170.6</v>
      </c>
      <c r="LS27" s="2">
        <v>162.7</v>
      </c>
      <c r="LT27" s="2">
        <v>166.0</v>
      </c>
      <c r="LU27" s="2">
        <v>170.9</v>
      </c>
      <c r="LV27" s="2">
        <v>164.0</v>
      </c>
      <c r="LW27" s="2">
        <v>166.9</v>
      </c>
      <c r="LX27" s="2">
        <v>171.8</v>
      </c>
      <c r="LY27" s="2">
        <v>165.2</v>
      </c>
      <c r="LZ27" s="2">
        <v>167.9</v>
      </c>
      <c r="MA27" s="2">
        <v>172.6</v>
      </c>
      <c r="MB27" s="2">
        <v>166.5</v>
      </c>
      <c r="MC27" s="2">
        <v>169.0</v>
      </c>
      <c r="MD27" s="2">
        <v>174.7</v>
      </c>
      <c r="ME27" s="2">
        <v>169.1</v>
      </c>
      <c r="MF27" s="2">
        <v>171.4</v>
      </c>
      <c r="MG27" s="2">
        <v>175.7</v>
      </c>
      <c r="MH27" s="2">
        <v>169.9</v>
      </c>
      <c r="MI27" s="2">
        <v>172.3</v>
      </c>
      <c r="MJ27" s="2">
        <v>176.2</v>
      </c>
      <c r="MK27" s="2">
        <v>170.9</v>
      </c>
      <c r="ML27" s="2">
        <v>173.1</v>
      </c>
      <c r="MM27" s="2">
        <v>176.5</v>
      </c>
      <c r="MN27" s="2">
        <v>171.2</v>
      </c>
      <c r="MO27" s="2">
        <v>173.4</v>
      </c>
      <c r="MP27" s="2">
        <v>176.9</v>
      </c>
      <c r="MQ27" s="2">
        <v>171.5</v>
      </c>
      <c r="MR27" s="2">
        <v>173.7</v>
      </c>
      <c r="MS27" s="2">
        <v>177.3</v>
      </c>
      <c r="MT27" s="2">
        <v>171.8</v>
      </c>
      <c r="MU27" s="2">
        <v>174.1</v>
      </c>
      <c r="MV27" s="2">
        <v>177.8</v>
      </c>
      <c r="MW27" s="2">
        <v>171.8</v>
      </c>
      <c r="MX27" s="2">
        <v>174.3</v>
      </c>
      <c r="MY27" s="2">
        <v>178.5</v>
      </c>
      <c r="MZ27" s="2">
        <v>172.5</v>
      </c>
      <c r="NA27" s="2">
        <v>175.0</v>
      </c>
      <c r="NB27" s="2">
        <v>178.5</v>
      </c>
      <c r="NC27" s="2">
        <v>172.5</v>
      </c>
      <c r="ND27" s="2">
        <v>175.0</v>
      </c>
      <c r="NE27" s="2">
        <v>179.4</v>
      </c>
      <c r="NF27" s="2">
        <v>174.2</v>
      </c>
      <c r="NG27" s="2">
        <v>176.4</v>
      </c>
      <c r="NH27" s="2">
        <v>180.3</v>
      </c>
      <c r="NI27" s="2">
        <v>174.8</v>
      </c>
      <c r="NJ27" s="2">
        <v>177.1</v>
      </c>
    </row>
    <row r="28" ht="15.75" customHeight="1">
      <c r="A28" s="2" t="s">
        <v>27</v>
      </c>
      <c r="B28" s="2" t="s">
        <v>51</v>
      </c>
      <c r="C28" s="2">
        <v>104.7</v>
      </c>
      <c r="D28" s="2">
        <v>104.3</v>
      </c>
      <c r="F28" s="4">
        <f t="shared" si="1"/>
        <v>0</v>
      </c>
      <c r="G28" s="2">
        <v>104.3</v>
      </c>
      <c r="H28" s="2">
        <v>104.5</v>
      </c>
      <c r="I28" s="2">
        <v>104.3</v>
      </c>
      <c r="J28" s="2">
        <v>104.2</v>
      </c>
      <c r="K28" s="2">
        <v>104.3</v>
      </c>
      <c r="L28" s="2">
        <v>102.7</v>
      </c>
      <c r="M28" s="2">
        <v>103.2</v>
      </c>
      <c r="N28" s="2">
        <v>102.9</v>
      </c>
      <c r="O28" s="2">
        <v>102.1</v>
      </c>
      <c r="P28" s="2">
        <v>102.6</v>
      </c>
      <c r="Q28" s="2">
        <v>102.3</v>
      </c>
      <c r="R28" s="2">
        <v>102.5</v>
      </c>
      <c r="S28" s="2">
        <v>103.3</v>
      </c>
      <c r="T28" s="2">
        <v>102.8</v>
      </c>
      <c r="U28" s="2">
        <v>102.5</v>
      </c>
      <c r="V28" s="2">
        <v>103.2</v>
      </c>
      <c r="W28" s="2">
        <v>102.8</v>
      </c>
      <c r="X28" s="2">
        <v>105.0</v>
      </c>
      <c r="Y28" s="2">
        <v>106.0</v>
      </c>
      <c r="Z28" s="2">
        <v>105.4</v>
      </c>
      <c r="AA28" s="2">
        <v>106.7</v>
      </c>
      <c r="AB28" s="2">
        <v>106.9</v>
      </c>
      <c r="AC28" s="2">
        <v>106.8</v>
      </c>
      <c r="AD28" s="2">
        <v>107.5</v>
      </c>
      <c r="AE28" s="2">
        <v>107.3</v>
      </c>
      <c r="AF28" s="2">
        <v>107.4</v>
      </c>
      <c r="AG28" s="2">
        <v>108.2</v>
      </c>
      <c r="AH28" s="2">
        <v>107.9</v>
      </c>
      <c r="AI28" s="2">
        <v>108.1</v>
      </c>
      <c r="AJ28" s="2">
        <v>108.1</v>
      </c>
      <c r="AK28" s="2">
        <v>107.7</v>
      </c>
      <c r="AL28" s="2">
        <v>107.9</v>
      </c>
      <c r="AM28" s="2">
        <v>108.3</v>
      </c>
      <c r="AN28" s="2">
        <v>108.0</v>
      </c>
      <c r="AO28" s="2">
        <v>108.2</v>
      </c>
      <c r="AP28" s="2">
        <v>108.7</v>
      </c>
      <c r="AQ28" s="2">
        <v>108.7</v>
      </c>
      <c r="AR28" s="2">
        <v>108.7</v>
      </c>
      <c r="AS28" s="2">
        <v>108.9</v>
      </c>
      <c r="AT28" s="2">
        <v>109.2</v>
      </c>
      <c r="AU28" s="2">
        <v>109.0</v>
      </c>
      <c r="AV28" s="2">
        <v>108.9</v>
      </c>
      <c r="AW28" s="2">
        <v>109.1</v>
      </c>
      <c r="AX28" s="2">
        <v>109.0</v>
      </c>
      <c r="AY28" s="2">
        <v>108.9</v>
      </c>
      <c r="AZ28" s="2">
        <v>109.3</v>
      </c>
      <c r="BA28" s="2">
        <v>109.1</v>
      </c>
      <c r="BB28" s="2">
        <v>108.0</v>
      </c>
      <c r="BC28" s="2">
        <v>108.7</v>
      </c>
      <c r="BD28" s="2">
        <v>108.3</v>
      </c>
      <c r="BE28" s="2">
        <v>108.8</v>
      </c>
      <c r="BF28" s="2">
        <v>109.7</v>
      </c>
      <c r="BG28" s="2">
        <v>109.2</v>
      </c>
      <c r="BH28" s="2">
        <v>109.4</v>
      </c>
      <c r="BI28" s="2">
        <v>110.5</v>
      </c>
      <c r="BJ28" s="2">
        <v>109.9</v>
      </c>
      <c r="BK28" s="2">
        <v>109.1</v>
      </c>
      <c r="BL28" s="2">
        <v>110.0</v>
      </c>
      <c r="BM28" s="2">
        <v>109.5</v>
      </c>
      <c r="BN28" s="2">
        <v>109.3</v>
      </c>
      <c r="BO28" s="2">
        <v>110.1</v>
      </c>
      <c r="BP28" s="2">
        <v>109.6</v>
      </c>
      <c r="BQ28" s="2">
        <v>108.8</v>
      </c>
      <c r="BR28" s="2">
        <v>109.6</v>
      </c>
      <c r="BS28" s="2">
        <v>109.1</v>
      </c>
      <c r="BT28" s="2">
        <v>109.4</v>
      </c>
      <c r="BU28" s="2">
        <v>110.4</v>
      </c>
      <c r="BV28" s="2">
        <v>109.8</v>
      </c>
      <c r="BW28" s="2">
        <v>110.2</v>
      </c>
      <c r="BX28" s="2">
        <v>111.4</v>
      </c>
      <c r="BY28" s="2">
        <v>110.7</v>
      </c>
      <c r="BZ28" s="2">
        <v>110.8</v>
      </c>
      <c r="CA28" s="2">
        <v>111.7</v>
      </c>
      <c r="CB28" s="2">
        <v>111.2</v>
      </c>
      <c r="CC28" s="2">
        <v>110.8</v>
      </c>
      <c r="CD28" s="2">
        <v>111.3</v>
      </c>
      <c r="CE28" s="2">
        <v>111.0</v>
      </c>
      <c r="CF28" s="2">
        <v>111.6</v>
      </c>
      <c r="CG28" s="2">
        <v>111.8</v>
      </c>
      <c r="CH28" s="2">
        <v>111.7</v>
      </c>
      <c r="CI28" s="2">
        <v>112.3</v>
      </c>
      <c r="CJ28" s="2">
        <v>112.4</v>
      </c>
      <c r="CK28" s="2">
        <v>112.3</v>
      </c>
      <c r="CL28" s="2">
        <v>113.0</v>
      </c>
      <c r="CM28" s="2">
        <v>112.5</v>
      </c>
      <c r="CN28" s="2">
        <v>112.8</v>
      </c>
      <c r="CO28" s="2">
        <v>112.7</v>
      </c>
      <c r="CP28" s="2">
        <v>111.7</v>
      </c>
      <c r="CQ28" s="2">
        <v>112.3</v>
      </c>
      <c r="CR28" s="2">
        <v>112.5</v>
      </c>
      <c r="CS28" s="2">
        <v>112.0</v>
      </c>
      <c r="CT28" s="2">
        <v>112.3</v>
      </c>
      <c r="CU28" s="2">
        <v>113.7</v>
      </c>
      <c r="CV28" s="2">
        <v>112.9</v>
      </c>
      <c r="CW28" s="2">
        <v>113.4</v>
      </c>
      <c r="CX28" s="2">
        <v>114.2</v>
      </c>
      <c r="CY28" s="2">
        <v>113.5</v>
      </c>
      <c r="CZ28" s="2">
        <v>113.9</v>
      </c>
      <c r="DA28" s="2">
        <v>114.2</v>
      </c>
      <c r="DB28" s="2">
        <v>113.3</v>
      </c>
      <c r="DC28" s="2">
        <v>113.8</v>
      </c>
      <c r="DD28" s="2">
        <v>114.1</v>
      </c>
      <c r="DE28" s="2">
        <v>113.2</v>
      </c>
      <c r="DF28" s="2">
        <v>113.7</v>
      </c>
      <c r="DG28" s="2">
        <v>114.9</v>
      </c>
      <c r="DH28" s="2">
        <v>114.0</v>
      </c>
      <c r="DI28" s="2">
        <v>114.5</v>
      </c>
      <c r="DJ28" s="2">
        <v>116.8</v>
      </c>
      <c r="DK28" s="2">
        <v>116.2</v>
      </c>
      <c r="DL28" s="2">
        <v>116.6</v>
      </c>
      <c r="DM28" s="2">
        <v>117.4</v>
      </c>
      <c r="DN28" s="2">
        <v>117.1</v>
      </c>
      <c r="DO28" s="2">
        <v>117.3</v>
      </c>
      <c r="DP28" s="2">
        <v>118.4</v>
      </c>
      <c r="DQ28" s="2">
        <v>117.6</v>
      </c>
      <c r="DR28" s="2">
        <v>118.1</v>
      </c>
      <c r="DS28" s="2">
        <v>119.7</v>
      </c>
      <c r="DT28" s="2">
        <v>118.5</v>
      </c>
      <c r="DU28" s="2">
        <v>119.2</v>
      </c>
      <c r="DV28" s="2">
        <v>119.9</v>
      </c>
      <c r="DW28" s="2">
        <v>118.8</v>
      </c>
      <c r="DX28" s="2">
        <v>119.4</v>
      </c>
      <c r="DY28" s="2">
        <v>120.9</v>
      </c>
      <c r="DZ28" s="2">
        <v>120.0</v>
      </c>
      <c r="EA28" s="2">
        <v>120.5</v>
      </c>
      <c r="EB28" s="2">
        <v>122.0</v>
      </c>
      <c r="EC28" s="2">
        <v>120.9</v>
      </c>
      <c r="ED28" s="2">
        <v>121.5</v>
      </c>
      <c r="EE28" s="2">
        <v>122.8</v>
      </c>
      <c r="EF28" s="2">
        <v>121.2</v>
      </c>
      <c r="EG28" s="2">
        <v>122.1</v>
      </c>
      <c r="EH28" s="2">
        <v>123.0</v>
      </c>
      <c r="EI28" s="2">
        <v>120.8</v>
      </c>
      <c r="EJ28" s="2">
        <v>122.1</v>
      </c>
      <c r="EK28" s="2">
        <v>123.5</v>
      </c>
      <c r="EL28" s="2">
        <v>121.3</v>
      </c>
      <c r="EM28" s="2">
        <v>122.6</v>
      </c>
      <c r="EN28" s="2">
        <v>121.9</v>
      </c>
      <c r="EO28" s="2">
        <v>119.9</v>
      </c>
      <c r="EP28" s="2">
        <v>121.1</v>
      </c>
      <c r="EQ28" s="2">
        <v>122.3</v>
      </c>
      <c r="ER28" s="2">
        <v>120.9</v>
      </c>
      <c r="ES28" s="2">
        <v>121.7</v>
      </c>
      <c r="ET28" s="2">
        <v>123.2</v>
      </c>
      <c r="EU28" s="2">
        <v>121.7</v>
      </c>
      <c r="EV28" s="2">
        <v>122.6</v>
      </c>
      <c r="EW28" s="2">
        <v>123.3</v>
      </c>
      <c r="EX28" s="2">
        <v>121.7</v>
      </c>
      <c r="EY28" s="2">
        <v>122.6</v>
      </c>
      <c r="EZ28" s="2">
        <v>123.7</v>
      </c>
      <c r="FA28" s="2">
        <v>122.2</v>
      </c>
      <c r="FB28" s="2">
        <v>123.1</v>
      </c>
      <c r="FC28" s="2">
        <v>123.7</v>
      </c>
      <c r="FD28" s="2">
        <v>122.0</v>
      </c>
      <c r="FE28" s="2">
        <v>123.0</v>
      </c>
      <c r="FF28" s="2">
        <v>124.1</v>
      </c>
      <c r="FG28" s="2">
        <v>122.5</v>
      </c>
      <c r="FH28" s="2">
        <v>123.4</v>
      </c>
      <c r="FI28" s="2">
        <v>124.4</v>
      </c>
      <c r="FJ28" s="2">
        <v>122.4</v>
      </c>
      <c r="FK28" s="2">
        <v>123.6</v>
      </c>
      <c r="FL28" s="2">
        <v>125.4</v>
      </c>
      <c r="FM28" s="2">
        <v>123.3</v>
      </c>
      <c r="FN28" s="2">
        <v>124.5</v>
      </c>
      <c r="FO28" s="2">
        <v>126.7</v>
      </c>
      <c r="FP28" s="2">
        <v>124.4</v>
      </c>
      <c r="FQ28" s="2">
        <v>125.7</v>
      </c>
      <c r="FR28" s="2">
        <v>127.4</v>
      </c>
      <c r="FS28" s="2">
        <v>124.6</v>
      </c>
      <c r="FT28" s="2">
        <v>126.2</v>
      </c>
      <c r="FU28" s="2">
        <v>128.1</v>
      </c>
      <c r="FV28" s="2">
        <v>124.9</v>
      </c>
      <c r="FW28" s="2">
        <v>126.8</v>
      </c>
      <c r="FX28" s="2">
        <v>127.8</v>
      </c>
      <c r="FY28" s="2">
        <v>124.6</v>
      </c>
      <c r="FZ28" s="2">
        <v>126.5</v>
      </c>
      <c r="GA28" s="2">
        <v>128.6</v>
      </c>
      <c r="GB28" s="2">
        <v>125.5</v>
      </c>
      <c r="GC28" s="2">
        <v>127.3</v>
      </c>
      <c r="GD28" s="2">
        <v>128.8</v>
      </c>
      <c r="GE28" s="2">
        <v>126.2</v>
      </c>
      <c r="GF28" s="2">
        <v>127.7</v>
      </c>
      <c r="GG28" s="2">
        <v>129.3</v>
      </c>
      <c r="GH28" s="2">
        <v>126.7</v>
      </c>
      <c r="GI28" s="2">
        <v>128.2</v>
      </c>
      <c r="GJ28" s="2">
        <v>130.4</v>
      </c>
      <c r="GK28" s="2">
        <v>127.6</v>
      </c>
      <c r="GL28" s="2">
        <v>129.2</v>
      </c>
      <c r="GM28" s="2">
        <v>131.2</v>
      </c>
      <c r="GN28" s="2">
        <v>128.1</v>
      </c>
      <c r="GO28" s="2">
        <v>129.9</v>
      </c>
      <c r="GP28" s="2">
        <v>131.4</v>
      </c>
      <c r="GQ28" s="2">
        <v>128.2</v>
      </c>
      <c r="GR28" s="2">
        <v>130.1</v>
      </c>
      <c r="GS28" s="2">
        <v>131.4</v>
      </c>
      <c r="GT28" s="2">
        <v>128.2</v>
      </c>
      <c r="GU28" s="2">
        <v>130.1</v>
      </c>
      <c r="GV28" s="2">
        <v>131.3</v>
      </c>
      <c r="GW28" s="2">
        <v>128.3</v>
      </c>
      <c r="GX28" s="2">
        <v>130.1</v>
      </c>
      <c r="GY28" s="2">
        <v>132.0</v>
      </c>
      <c r="GZ28" s="2">
        <v>129.3</v>
      </c>
      <c r="HA28" s="2">
        <v>130.9</v>
      </c>
      <c r="HB28" s="2">
        <v>134.4</v>
      </c>
      <c r="HC28" s="2">
        <v>130.4</v>
      </c>
      <c r="HD28" s="2">
        <v>132.0</v>
      </c>
      <c r="HE28" s="2">
        <v>133.1</v>
      </c>
      <c r="HF28" s="2">
        <v>130.5</v>
      </c>
      <c r="HG28" s="2">
        <v>132.0</v>
      </c>
      <c r="HH28" s="2">
        <v>133.2</v>
      </c>
      <c r="HI28" s="2">
        <v>130.8</v>
      </c>
      <c r="HJ28" s="2">
        <v>132.2</v>
      </c>
      <c r="HK28" s="2">
        <v>133.5</v>
      </c>
      <c r="HL28" s="2">
        <v>131.7</v>
      </c>
      <c r="HM28" s="2">
        <v>132.8</v>
      </c>
      <c r="HN28" s="2">
        <v>134.9</v>
      </c>
      <c r="HO28" s="2">
        <v>133.0</v>
      </c>
      <c r="HP28" s="2">
        <v>134.1</v>
      </c>
      <c r="HQ28" s="2">
        <v>134.0</v>
      </c>
      <c r="HR28" s="2">
        <v>132.5</v>
      </c>
      <c r="HS28" s="2">
        <v>133.4</v>
      </c>
      <c r="HT28" s="2">
        <v>133.9</v>
      </c>
      <c r="HU28" s="2">
        <v>132.6</v>
      </c>
      <c r="HV28" s="2">
        <v>133.4</v>
      </c>
      <c r="HW28" s="2">
        <v>134.8</v>
      </c>
      <c r="HX28" s="2">
        <v>133.7</v>
      </c>
      <c r="HY28" s="2">
        <v>134.3</v>
      </c>
      <c r="HZ28" s="2">
        <v>136.1</v>
      </c>
      <c r="IA28" s="2">
        <v>135.1</v>
      </c>
      <c r="IB28" s="2">
        <v>135.7</v>
      </c>
      <c r="IC28" s="2">
        <v>138.8</v>
      </c>
      <c r="ID28" s="2">
        <v>137.8</v>
      </c>
      <c r="IE28" s="2">
        <v>138.4</v>
      </c>
      <c r="IF28" s="2">
        <v>140.2</v>
      </c>
      <c r="IG28" s="2">
        <v>139.0</v>
      </c>
      <c r="IH28" s="2">
        <v>139.7</v>
      </c>
      <c r="II28" s="2">
        <v>140.3</v>
      </c>
      <c r="IJ28" s="2">
        <v>139.5</v>
      </c>
      <c r="IK28" s="2">
        <v>140.0</v>
      </c>
      <c r="IL28" s="2">
        <v>140.6</v>
      </c>
      <c r="IM28" s="2">
        <v>139.8</v>
      </c>
      <c r="IN28" s="2">
        <v>140.3</v>
      </c>
      <c r="IO28" s="2">
        <v>140.6</v>
      </c>
      <c r="IP28" s="2">
        <v>140.2</v>
      </c>
      <c r="IQ28" s="2">
        <v>140.4</v>
      </c>
      <c r="IR28" s="2">
        <v>142.5</v>
      </c>
      <c r="IS28" s="2">
        <v>142.1</v>
      </c>
      <c r="IT28" s="2">
        <v>142.3</v>
      </c>
      <c r="IU28" s="2">
        <v>143.4</v>
      </c>
      <c r="IV28" s="2">
        <v>143.5</v>
      </c>
      <c r="IW28" s="2">
        <v>143.4</v>
      </c>
      <c r="IX28" s="2">
        <v>145.1</v>
      </c>
      <c r="IY28" s="2">
        <v>145.3</v>
      </c>
      <c r="IZ28" s="2">
        <v>145.2</v>
      </c>
      <c r="JA28" s="2" t="s">
        <v>32</v>
      </c>
      <c r="JB28" s="2" t="s">
        <v>32</v>
      </c>
      <c r="JC28" s="2" t="s">
        <v>32</v>
      </c>
      <c r="JD28" s="2" t="s">
        <v>32</v>
      </c>
      <c r="JE28" s="2" t="s">
        <v>32</v>
      </c>
      <c r="JF28" s="2" t="s">
        <v>32</v>
      </c>
      <c r="JG28" s="2">
        <v>151.2</v>
      </c>
      <c r="JH28" s="2">
        <v>152.2</v>
      </c>
      <c r="JI28" s="2">
        <v>151.6</v>
      </c>
      <c r="JJ28" s="2">
        <v>151.2</v>
      </c>
      <c r="JK28" s="2">
        <v>152.2</v>
      </c>
      <c r="JL28" s="2">
        <v>151.6</v>
      </c>
      <c r="JM28" s="2">
        <v>153.6</v>
      </c>
      <c r="JN28" s="2">
        <v>155.2</v>
      </c>
      <c r="JO28" s="2">
        <v>154.3</v>
      </c>
      <c r="JP28" s="2">
        <v>157.4</v>
      </c>
      <c r="JQ28" s="2">
        <v>159.8</v>
      </c>
      <c r="JR28" s="2">
        <v>158.4</v>
      </c>
      <c r="JS28" s="2">
        <v>156.2</v>
      </c>
      <c r="JT28" s="2">
        <v>158.1</v>
      </c>
      <c r="JU28" s="2">
        <v>157.0</v>
      </c>
      <c r="JV28" s="2">
        <v>156.2</v>
      </c>
      <c r="JW28" s="2">
        <v>157.9</v>
      </c>
      <c r="JX28" s="2">
        <v>156.9</v>
      </c>
      <c r="JY28" s="2">
        <v>156.6</v>
      </c>
      <c r="JZ28" s="2">
        <v>157.9</v>
      </c>
      <c r="KA28" s="2">
        <v>157.1</v>
      </c>
      <c r="KB28" s="2">
        <v>156.2</v>
      </c>
      <c r="KC28" s="2">
        <v>157.7</v>
      </c>
      <c r="KD28" s="2">
        <v>156.8</v>
      </c>
      <c r="KE28" s="2">
        <v>155.2</v>
      </c>
      <c r="KF28" s="2">
        <v>156.7</v>
      </c>
      <c r="KG28" s="2">
        <v>155.8</v>
      </c>
      <c r="KH28" s="2">
        <v>153.1</v>
      </c>
      <c r="KI28" s="2">
        <v>154.9</v>
      </c>
      <c r="KJ28" s="2">
        <v>153.8</v>
      </c>
      <c r="KK28" s="2">
        <v>154.6</v>
      </c>
      <c r="KL28" s="2">
        <v>156.6</v>
      </c>
      <c r="KM28" s="2">
        <v>155.4</v>
      </c>
      <c r="KN28" s="2">
        <v>159.3</v>
      </c>
      <c r="KO28" s="2">
        <v>157.5</v>
      </c>
      <c r="KP28" s="2">
        <v>158.6</v>
      </c>
      <c r="KQ28" s="2">
        <v>159.4</v>
      </c>
      <c r="KR28" s="2">
        <v>158.0</v>
      </c>
      <c r="KS28" s="2">
        <v>158.8</v>
      </c>
      <c r="KT28" s="2">
        <v>160.4</v>
      </c>
      <c r="KU28" s="2">
        <v>159.6</v>
      </c>
      <c r="KV28" s="2">
        <v>160.1</v>
      </c>
      <c r="KW28" s="2">
        <v>160.3</v>
      </c>
      <c r="KX28" s="2">
        <v>159.6</v>
      </c>
      <c r="KY28" s="2">
        <v>160.0</v>
      </c>
      <c r="KZ28" s="2">
        <v>160.2</v>
      </c>
      <c r="LA28" s="2">
        <v>159.6</v>
      </c>
      <c r="LB28" s="2">
        <v>160.0</v>
      </c>
      <c r="LC28" s="2">
        <v>161.1</v>
      </c>
      <c r="LD28" s="2">
        <v>160.3</v>
      </c>
      <c r="LE28" s="2">
        <v>160.8</v>
      </c>
      <c r="LF28" s="2">
        <v>162.4</v>
      </c>
      <c r="LG28" s="2">
        <v>161.8</v>
      </c>
      <c r="LH28" s="2">
        <v>162.2</v>
      </c>
      <c r="LI28" s="2">
        <v>162.8</v>
      </c>
      <c r="LJ28" s="2">
        <v>162.4</v>
      </c>
      <c r="LK28" s="2">
        <v>162.6</v>
      </c>
      <c r="LL28" s="2">
        <v>163.2</v>
      </c>
      <c r="LM28" s="2">
        <v>162.8</v>
      </c>
      <c r="LN28" s="2">
        <v>163.0</v>
      </c>
      <c r="LO28" s="2">
        <v>164.5</v>
      </c>
      <c r="LP28" s="2">
        <v>164.2</v>
      </c>
      <c r="LQ28" s="2">
        <v>164.4</v>
      </c>
      <c r="LR28" s="2">
        <v>167.4</v>
      </c>
      <c r="LS28" s="2">
        <v>166.8</v>
      </c>
      <c r="LT28" s="2">
        <v>167.2</v>
      </c>
      <c r="LU28" s="2">
        <v>169.0</v>
      </c>
      <c r="LV28" s="2">
        <v>168.4</v>
      </c>
      <c r="LW28" s="2">
        <v>168.8</v>
      </c>
      <c r="LX28" s="2">
        <v>168.5</v>
      </c>
      <c r="LY28" s="2">
        <v>168.2</v>
      </c>
      <c r="LZ28" s="2">
        <v>168.4</v>
      </c>
      <c r="MA28" s="2">
        <v>169.5</v>
      </c>
      <c r="MB28" s="2">
        <v>169.2</v>
      </c>
      <c r="MC28" s="2">
        <v>169.4</v>
      </c>
      <c r="MD28" s="2">
        <v>169.7</v>
      </c>
      <c r="ME28" s="2">
        <v>169.8</v>
      </c>
      <c r="MF28" s="2">
        <v>169.7</v>
      </c>
      <c r="MG28" s="2">
        <v>171.1</v>
      </c>
      <c r="MH28" s="2">
        <v>171.4</v>
      </c>
      <c r="MI28" s="2">
        <v>171.2</v>
      </c>
      <c r="MJ28" s="2">
        <v>170.8</v>
      </c>
      <c r="MK28" s="2">
        <v>171.1</v>
      </c>
      <c r="ML28" s="2">
        <v>170.9</v>
      </c>
      <c r="MM28" s="2">
        <v>172.0</v>
      </c>
      <c r="MN28" s="2">
        <v>172.3</v>
      </c>
      <c r="MO28" s="2">
        <v>172.1</v>
      </c>
      <c r="MP28" s="2">
        <v>173.4</v>
      </c>
      <c r="MQ28" s="2">
        <v>173.8</v>
      </c>
      <c r="MR28" s="2">
        <v>173.6</v>
      </c>
      <c r="MS28" s="2">
        <v>175.7</v>
      </c>
      <c r="MT28" s="2">
        <v>176.0</v>
      </c>
      <c r="MU28" s="2">
        <v>175.8</v>
      </c>
      <c r="MV28" s="2">
        <v>178.4</v>
      </c>
      <c r="MW28" s="2">
        <v>178.8</v>
      </c>
      <c r="MX28" s="2">
        <v>178.6</v>
      </c>
      <c r="MY28" s="2">
        <v>180.7</v>
      </c>
      <c r="MZ28" s="2">
        <v>181.4</v>
      </c>
      <c r="NA28" s="2">
        <v>181.0</v>
      </c>
      <c r="NB28" s="2">
        <v>180.7</v>
      </c>
      <c r="NC28" s="2">
        <v>181.5</v>
      </c>
      <c r="ND28" s="2">
        <v>181.0</v>
      </c>
      <c r="NE28" s="2">
        <v>183.8</v>
      </c>
      <c r="NF28" s="2">
        <v>184.4</v>
      </c>
      <c r="NG28" s="2">
        <v>184.0</v>
      </c>
      <c r="NH28" s="2">
        <v>184.9</v>
      </c>
      <c r="NI28" s="2">
        <v>185.6</v>
      </c>
      <c r="NJ28" s="2">
        <v>185.2</v>
      </c>
    </row>
    <row r="29" ht="15.75" customHeight="1">
      <c r="A29" s="2" t="s">
        <v>28</v>
      </c>
      <c r="B29" s="2" t="str">
        <f>VLOOKUP(A29, NOTES!C30:D55, 2,0)</f>
        <v>Social and Miscellaneous</v>
      </c>
      <c r="C29" s="2">
        <v>104.0</v>
      </c>
      <c r="D29" s="2">
        <v>103.7</v>
      </c>
      <c r="E29" s="2">
        <f>SUMPRODUCT((Sheet3!$MA$1:$NJ$1="Rural+Urban")*(Sheet3!$A$4:$A$13=QUES_3!K30)*Sheet3!$MA$4:$NJ$13)</f>
        <v>0</v>
      </c>
      <c r="F29" s="4">
        <f t="shared" si="1"/>
        <v>0</v>
      </c>
      <c r="G29" s="2">
        <v>104.3</v>
      </c>
      <c r="H29" s="2">
        <v>104.4</v>
      </c>
      <c r="I29" s="2">
        <v>104.6</v>
      </c>
      <c r="J29" s="2">
        <v>104.9</v>
      </c>
      <c r="K29" s="2">
        <v>104.7</v>
      </c>
      <c r="L29" s="2">
        <v>104.6</v>
      </c>
      <c r="M29" s="2">
        <v>105.1</v>
      </c>
      <c r="N29" s="2">
        <v>104.8</v>
      </c>
      <c r="O29" s="2">
        <v>104.8</v>
      </c>
      <c r="P29" s="2">
        <v>104.9</v>
      </c>
      <c r="Q29" s="2">
        <v>104.8</v>
      </c>
      <c r="R29" s="2">
        <v>105.5</v>
      </c>
      <c r="S29" s="2">
        <v>106.1</v>
      </c>
      <c r="T29" s="2">
        <v>105.8</v>
      </c>
      <c r="U29" s="2">
        <v>106.5</v>
      </c>
      <c r="V29" s="2">
        <v>107.3</v>
      </c>
      <c r="W29" s="2">
        <v>106.9</v>
      </c>
      <c r="X29" s="2">
        <v>107.5</v>
      </c>
      <c r="Y29" s="2">
        <v>108.3</v>
      </c>
      <c r="Z29" s="2">
        <v>107.9</v>
      </c>
      <c r="AA29" s="2">
        <v>108.7</v>
      </c>
      <c r="AB29" s="2">
        <v>109.4</v>
      </c>
      <c r="AC29" s="2">
        <v>109.0</v>
      </c>
      <c r="AD29" s="2">
        <v>109.1</v>
      </c>
      <c r="AE29" s="2">
        <v>109.4</v>
      </c>
      <c r="AF29" s="2">
        <v>109.2</v>
      </c>
      <c r="AG29" s="2">
        <v>109.8</v>
      </c>
      <c r="AH29" s="2">
        <v>109.6</v>
      </c>
      <c r="AI29" s="2">
        <v>109.7</v>
      </c>
      <c r="AJ29" s="2">
        <v>110.1</v>
      </c>
      <c r="AK29" s="2">
        <v>109.8</v>
      </c>
      <c r="AL29" s="2">
        <v>110.0</v>
      </c>
      <c r="AM29" s="2">
        <v>110.6</v>
      </c>
      <c r="AN29" s="2">
        <v>110.5</v>
      </c>
      <c r="AO29" s="2">
        <v>110.6</v>
      </c>
      <c r="AP29" s="2">
        <v>110.9</v>
      </c>
      <c r="AQ29" s="2">
        <v>111.0</v>
      </c>
      <c r="AR29" s="2">
        <v>110.9</v>
      </c>
      <c r="AS29" s="2">
        <v>111.3</v>
      </c>
      <c r="AT29" s="2">
        <v>111.4</v>
      </c>
      <c r="AU29" s="2">
        <v>111.3</v>
      </c>
      <c r="AV29" s="2">
        <v>111.5</v>
      </c>
      <c r="AW29" s="2">
        <v>111.4</v>
      </c>
      <c r="AX29" s="2">
        <v>111.5</v>
      </c>
      <c r="AY29" s="2">
        <v>111.8</v>
      </c>
      <c r="AZ29" s="2">
        <v>111.7</v>
      </c>
      <c r="BA29" s="2">
        <v>111.8</v>
      </c>
      <c r="BB29" s="2">
        <v>112.3</v>
      </c>
      <c r="BC29" s="2">
        <v>112.2</v>
      </c>
      <c r="BD29" s="2">
        <v>112.3</v>
      </c>
      <c r="BE29" s="2">
        <v>113.1</v>
      </c>
      <c r="BF29" s="2">
        <v>113.5</v>
      </c>
      <c r="BG29" s="2">
        <v>113.3</v>
      </c>
      <c r="BH29" s="2">
        <v>113.5</v>
      </c>
      <c r="BI29" s="2">
        <v>113.9</v>
      </c>
      <c r="BJ29" s="2">
        <v>113.7</v>
      </c>
      <c r="BK29" s="2">
        <v>113.7</v>
      </c>
      <c r="BL29" s="2">
        <v>113.6</v>
      </c>
      <c r="BM29" s="2">
        <v>113.7</v>
      </c>
      <c r="BN29" s="2">
        <v>114.0</v>
      </c>
      <c r="BO29" s="2">
        <v>113.7</v>
      </c>
      <c r="BP29" s="2">
        <v>113.9</v>
      </c>
      <c r="BQ29" s="2">
        <v>114.1</v>
      </c>
      <c r="BR29" s="2">
        <v>113.4</v>
      </c>
      <c r="BS29" s="2">
        <v>113.8</v>
      </c>
      <c r="BT29" s="2">
        <v>114.2</v>
      </c>
      <c r="BU29" s="2">
        <v>113.4</v>
      </c>
      <c r="BV29" s="2">
        <v>113.8</v>
      </c>
      <c r="BW29" s="2">
        <v>114.5</v>
      </c>
      <c r="BX29" s="2">
        <v>113.4</v>
      </c>
      <c r="BY29" s="2">
        <v>114.0</v>
      </c>
      <c r="BZ29" s="2">
        <v>115.0</v>
      </c>
      <c r="CA29" s="2">
        <v>113.2</v>
      </c>
      <c r="CB29" s="2">
        <v>114.1</v>
      </c>
      <c r="CC29" s="2">
        <v>115.5</v>
      </c>
      <c r="CD29" s="2">
        <v>113.8</v>
      </c>
      <c r="CE29" s="2">
        <v>114.7</v>
      </c>
      <c r="CF29" s="2">
        <v>116.0</v>
      </c>
      <c r="CG29" s="2">
        <v>114.2</v>
      </c>
      <c r="CH29" s="2">
        <v>115.1</v>
      </c>
      <c r="CI29" s="2">
        <v>116.9</v>
      </c>
      <c r="CJ29" s="2">
        <v>115.2</v>
      </c>
      <c r="CK29" s="2">
        <v>116.1</v>
      </c>
      <c r="CL29" s="2">
        <v>117.9</v>
      </c>
      <c r="CM29" s="2">
        <v>116.0</v>
      </c>
      <c r="CN29" s="2">
        <v>117.0</v>
      </c>
      <c r="CO29" s="2">
        <v>118.1</v>
      </c>
      <c r="CP29" s="2">
        <v>116.3</v>
      </c>
      <c r="CQ29" s="2">
        <v>117.2</v>
      </c>
      <c r="CR29" s="2">
        <v>118.2</v>
      </c>
      <c r="CS29" s="2">
        <v>116.2</v>
      </c>
      <c r="CT29" s="2">
        <v>117.2</v>
      </c>
      <c r="CU29" s="2">
        <v>118.8</v>
      </c>
      <c r="CV29" s="2">
        <v>116.2</v>
      </c>
      <c r="CW29" s="2">
        <v>117.5</v>
      </c>
      <c r="CX29" s="2">
        <v>119.2</v>
      </c>
      <c r="CY29" s="2">
        <v>116.5</v>
      </c>
      <c r="CZ29" s="2">
        <v>117.9</v>
      </c>
      <c r="DA29" s="2">
        <v>119.6</v>
      </c>
      <c r="DB29" s="2">
        <v>116.6</v>
      </c>
      <c r="DC29" s="2">
        <v>118.1</v>
      </c>
      <c r="DD29" s="2">
        <v>119.8</v>
      </c>
      <c r="DE29" s="2">
        <v>116.7</v>
      </c>
      <c r="DF29" s="2">
        <v>118.3</v>
      </c>
      <c r="DG29" s="2">
        <v>120.1</v>
      </c>
      <c r="DH29" s="2">
        <v>116.8</v>
      </c>
      <c r="DI29" s="2">
        <v>118.5</v>
      </c>
      <c r="DJ29" s="2">
        <v>120.9</v>
      </c>
      <c r="DK29" s="2">
        <v>117.2</v>
      </c>
      <c r="DL29" s="2">
        <v>119.1</v>
      </c>
      <c r="DM29" s="2">
        <v>121.1</v>
      </c>
      <c r="DN29" s="2">
        <v>117.3</v>
      </c>
      <c r="DO29" s="2">
        <v>119.3</v>
      </c>
      <c r="DP29" s="2">
        <v>121.7</v>
      </c>
      <c r="DQ29" s="2">
        <v>118.2</v>
      </c>
      <c r="DR29" s="2">
        <v>120.0</v>
      </c>
      <c r="DS29" s="2">
        <v>122.5</v>
      </c>
      <c r="DT29" s="2">
        <v>118.7</v>
      </c>
      <c r="DU29" s="2">
        <v>120.7</v>
      </c>
      <c r="DV29" s="2">
        <v>123.3</v>
      </c>
      <c r="DW29" s="2">
        <v>119.6</v>
      </c>
      <c r="DX29" s="2">
        <v>121.5</v>
      </c>
      <c r="DY29" s="2">
        <v>123.8</v>
      </c>
      <c r="DZ29" s="2">
        <v>119.9</v>
      </c>
      <c r="EA29" s="2">
        <v>121.9</v>
      </c>
      <c r="EB29" s="2">
        <v>124.2</v>
      </c>
      <c r="EC29" s="2">
        <v>119.9</v>
      </c>
      <c r="ED29" s="2">
        <v>122.1</v>
      </c>
      <c r="EE29" s="2">
        <v>124.9</v>
      </c>
      <c r="EF29" s="2">
        <v>120.5</v>
      </c>
      <c r="EG29" s="2">
        <v>122.8</v>
      </c>
      <c r="EH29" s="2">
        <v>125.7</v>
      </c>
      <c r="EI29" s="2">
        <v>120.9</v>
      </c>
      <c r="EJ29" s="2">
        <v>123.4</v>
      </c>
      <c r="EK29" s="2">
        <v>126.1</v>
      </c>
      <c r="EL29" s="2">
        <v>121.3</v>
      </c>
      <c r="EM29" s="2">
        <v>123.8</v>
      </c>
      <c r="EN29" s="2">
        <v>126.3</v>
      </c>
      <c r="EO29" s="2">
        <v>121.4</v>
      </c>
      <c r="EP29" s="2">
        <v>123.9</v>
      </c>
      <c r="EQ29" s="2">
        <v>126.6</v>
      </c>
      <c r="ER29" s="2">
        <v>122.1</v>
      </c>
      <c r="ES29" s="2">
        <v>124.4</v>
      </c>
      <c r="ET29" s="2">
        <v>127.0</v>
      </c>
      <c r="EU29" s="2">
        <v>122.4</v>
      </c>
      <c r="EV29" s="2">
        <v>124.8</v>
      </c>
      <c r="EW29" s="2">
        <v>127.4</v>
      </c>
      <c r="EX29" s="2">
        <v>122.6</v>
      </c>
      <c r="EY29" s="2">
        <v>125.1</v>
      </c>
      <c r="EZ29" s="2">
        <v>127.5</v>
      </c>
      <c r="FA29" s="2">
        <v>122.5</v>
      </c>
      <c r="FB29" s="2">
        <v>125.1</v>
      </c>
      <c r="FC29" s="2">
        <v>127.9</v>
      </c>
      <c r="FD29" s="2">
        <v>122.6</v>
      </c>
      <c r="FE29" s="2">
        <v>125.3</v>
      </c>
      <c r="FF29" s="2">
        <v>128.1</v>
      </c>
      <c r="FG29" s="2">
        <v>122.7</v>
      </c>
      <c r="FH29" s="2">
        <v>125.5</v>
      </c>
      <c r="FI29" s="2">
        <v>128.6</v>
      </c>
      <c r="FJ29" s="2">
        <v>123.0</v>
      </c>
      <c r="FK29" s="2">
        <v>125.9</v>
      </c>
      <c r="FL29" s="2">
        <v>129.7</v>
      </c>
      <c r="FM29" s="2">
        <v>123.8</v>
      </c>
      <c r="FN29" s="2">
        <v>126.8</v>
      </c>
      <c r="FO29" s="2">
        <v>130.3</v>
      </c>
      <c r="FP29" s="2">
        <v>124.5</v>
      </c>
      <c r="FQ29" s="2">
        <v>127.5</v>
      </c>
      <c r="FR29" s="2">
        <v>130.7</v>
      </c>
      <c r="FS29" s="2">
        <v>124.5</v>
      </c>
      <c r="FT29" s="2">
        <v>127.7</v>
      </c>
      <c r="FU29" s="2">
        <v>131.7</v>
      </c>
      <c r="FV29" s="2">
        <v>124.9</v>
      </c>
      <c r="FW29" s="2">
        <v>128.4</v>
      </c>
      <c r="FX29" s="2">
        <v>131.9</v>
      </c>
      <c r="FY29" s="2">
        <v>125.1</v>
      </c>
      <c r="FZ29" s="2">
        <v>128.6</v>
      </c>
      <c r="GA29" s="2">
        <v>132.3</v>
      </c>
      <c r="GB29" s="2">
        <v>125.8</v>
      </c>
      <c r="GC29" s="2">
        <v>129.1</v>
      </c>
      <c r="GD29" s="2">
        <v>132.5</v>
      </c>
      <c r="GE29" s="2">
        <v>126.5</v>
      </c>
      <c r="GF29" s="2">
        <v>129.6</v>
      </c>
      <c r="GG29" s="2">
        <v>133.3</v>
      </c>
      <c r="GH29" s="2">
        <v>127.1</v>
      </c>
      <c r="GI29" s="2">
        <v>130.3</v>
      </c>
      <c r="GJ29" s="2">
        <v>134.2</v>
      </c>
      <c r="GK29" s="2">
        <v>128.2</v>
      </c>
      <c r="GL29" s="2">
        <v>131.3</v>
      </c>
      <c r="GM29" s="2">
        <v>135.1</v>
      </c>
      <c r="GN29" s="2">
        <v>128.9</v>
      </c>
      <c r="GO29" s="2">
        <v>132.1</v>
      </c>
      <c r="GP29" s="2">
        <v>135.6</v>
      </c>
      <c r="GQ29" s="2">
        <v>129.5</v>
      </c>
      <c r="GR29" s="2">
        <v>132.6</v>
      </c>
      <c r="GS29" s="2">
        <v>136.0</v>
      </c>
      <c r="GT29" s="2">
        <v>130.2</v>
      </c>
      <c r="GU29" s="2">
        <v>133.2</v>
      </c>
      <c r="GV29" s="2">
        <v>136.6</v>
      </c>
      <c r="GW29" s="2">
        <v>131.0</v>
      </c>
      <c r="GX29" s="2">
        <v>133.9</v>
      </c>
      <c r="GY29" s="2">
        <v>137.4</v>
      </c>
      <c r="GZ29" s="2">
        <v>131.9</v>
      </c>
      <c r="HA29" s="2">
        <v>134.7</v>
      </c>
      <c r="HB29" s="2">
        <v>139.8</v>
      </c>
      <c r="HC29" s="2">
        <v>132.5</v>
      </c>
      <c r="HD29" s="2">
        <v>136.3</v>
      </c>
      <c r="HE29" s="2">
        <v>140.1</v>
      </c>
      <c r="HF29" s="2">
        <v>132.2</v>
      </c>
      <c r="HG29" s="2">
        <v>136.3</v>
      </c>
      <c r="HH29" s="2">
        <v>141.6</v>
      </c>
      <c r="HI29" s="2">
        <v>131.7</v>
      </c>
      <c r="HJ29" s="2">
        <v>136.8</v>
      </c>
      <c r="HK29" s="2">
        <v>141.7</v>
      </c>
      <c r="HL29" s="2">
        <v>131.8</v>
      </c>
      <c r="HM29" s="2">
        <v>136.9</v>
      </c>
      <c r="HN29" s="2">
        <v>142.2</v>
      </c>
      <c r="HO29" s="2">
        <v>132.4</v>
      </c>
      <c r="HP29" s="2">
        <v>137.4</v>
      </c>
      <c r="HQ29" s="2">
        <v>142.4</v>
      </c>
      <c r="HR29" s="2">
        <v>132.8</v>
      </c>
      <c r="HS29" s="2">
        <v>137.7</v>
      </c>
      <c r="HT29" s="2">
        <v>142.9</v>
      </c>
      <c r="HU29" s="2">
        <v>133.3</v>
      </c>
      <c r="HV29" s="2">
        <v>138.2</v>
      </c>
      <c r="HW29" s="2">
        <v>143.3</v>
      </c>
      <c r="HX29" s="2">
        <v>133.6</v>
      </c>
      <c r="HY29" s="2">
        <v>138.6</v>
      </c>
      <c r="HZ29" s="2">
        <v>144.2</v>
      </c>
      <c r="IA29" s="2">
        <v>134.5</v>
      </c>
      <c r="IB29" s="2">
        <v>139.5</v>
      </c>
      <c r="IC29" s="2">
        <v>144.9</v>
      </c>
      <c r="ID29" s="2">
        <v>135.3</v>
      </c>
      <c r="IE29" s="2">
        <v>140.2</v>
      </c>
      <c r="IF29" s="2">
        <v>145.4</v>
      </c>
      <c r="IG29" s="2">
        <v>135.7</v>
      </c>
      <c r="IH29" s="2">
        <v>140.7</v>
      </c>
      <c r="II29" s="2">
        <v>145.7</v>
      </c>
      <c r="IJ29" s="2">
        <v>136.0</v>
      </c>
      <c r="IK29" s="2">
        <v>141.0</v>
      </c>
      <c r="IL29" s="2">
        <v>146.1</v>
      </c>
      <c r="IM29" s="2">
        <v>136.3</v>
      </c>
      <c r="IN29" s="2">
        <v>141.3</v>
      </c>
      <c r="IO29" s="2">
        <v>147.1</v>
      </c>
      <c r="IP29" s="2">
        <v>137.7</v>
      </c>
      <c r="IQ29" s="2">
        <v>142.5</v>
      </c>
      <c r="IR29" s="2">
        <v>148.1</v>
      </c>
      <c r="IS29" s="2">
        <v>138.4</v>
      </c>
      <c r="IT29" s="2">
        <v>143.4</v>
      </c>
      <c r="IU29" s="2">
        <v>148.4</v>
      </c>
      <c r="IV29" s="2">
        <v>138.4</v>
      </c>
      <c r="IW29" s="2">
        <v>143.6</v>
      </c>
      <c r="IX29" s="2">
        <v>148.6</v>
      </c>
      <c r="IY29" s="2">
        <v>138.7</v>
      </c>
      <c r="IZ29" s="2">
        <v>143.8</v>
      </c>
      <c r="JA29" s="2" t="s">
        <v>32</v>
      </c>
      <c r="JB29" s="2" t="s">
        <v>32</v>
      </c>
      <c r="JC29" s="2" t="s">
        <v>32</v>
      </c>
      <c r="JD29" s="2" t="s">
        <v>32</v>
      </c>
      <c r="JE29" s="2" t="s">
        <v>32</v>
      </c>
      <c r="JF29" s="2" t="s">
        <v>32</v>
      </c>
      <c r="JG29" s="2">
        <v>151.7</v>
      </c>
      <c r="JH29" s="2">
        <v>142.0</v>
      </c>
      <c r="JI29" s="2">
        <v>147.0</v>
      </c>
      <c r="JJ29" s="2">
        <v>151.7</v>
      </c>
      <c r="JK29" s="2">
        <v>142.0</v>
      </c>
      <c r="JL29" s="2">
        <v>147.0</v>
      </c>
      <c r="JM29" s="2">
        <v>153.0</v>
      </c>
      <c r="JN29" s="2">
        <v>144.8</v>
      </c>
      <c r="JO29" s="2">
        <v>149.0</v>
      </c>
      <c r="JP29" s="2">
        <v>153.7</v>
      </c>
      <c r="JQ29" s="2">
        <v>146.0</v>
      </c>
      <c r="JR29" s="2">
        <v>150.0</v>
      </c>
      <c r="JS29" s="2">
        <v>154.3</v>
      </c>
      <c r="JT29" s="2">
        <v>146.2</v>
      </c>
      <c r="JU29" s="2">
        <v>150.4</v>
      </c>
      <c r="JV29" s="2">
        <v>154.5</v>
      </c>
      <c r="JW29" s="2">
        <v>146.6</v>
      </c>
      <c r="JX29" s="2">
        <v>150.7</v>
      </c>
      <c r="JY29" s="2">
        <v>155.2</v>
      </c>
      <c r="JZ29" s="2">
        <v>146.9</v>
      </c>
      <c r="KA29" s="2">
        <v>151.2</v>
      </c>
      <c r="KB29" s="2">
        <v>155.9</v>
      </c>
      <c r="KC29" s="2">
        <v>147.6</v>
      </c>
      <c r="KD29" s="2">
        <v>151.9</v>
      </c>
      <c r="KE29" s="2">
        <v>157.2</v>
      </c>
      <c r="KF29" s="2">
        <v>149.3</v>
      </c>
      <c r="KG29" s="2">
        <v>153.4</v>
      </c>
      <c r="KH29" s="2">
        <v>157.3</v>
      </c>
      <c r="KI29" s="2">
        <v>150.0</v>
      </c>
      <c r="KJ29" s="2">
        <v>153.8</v>
      </c>
      <c r="KK29" s="2">
        <v>158.0</v>
      </c>
      <c r="KL29" s="2">
        <v>150.5</v>
      </c>
      <c r="KM29" s="2">
        <v>154.4</v>
      </c>
      <c r="KN29" s="2">
        <v>161.1</v>
      </c>
      <c r="KO29" s="2">
        <v>152.3</v>
      </c>
      <c r="KP29" s="2">
        <v>156.8</v>
      </c>
      <c r="KQ29" s="2">
        <v>161.5</v>
      </c>
      <c r="KR29" s="2">
        <v>153.4</v>
      </c>
      <c r="KS29" s="2">
        <v>157.6</v>
      </c>
      <c r="KT29" s="2">
        <v>162.8</v>
      </c>
      <c r="KU29" s="2">
        <v>155.0</v>
      </c>
      <c r="KV29" s="2">
        <v>159.0</v>
      </c>
      <c r="KW29" s="2">
        <v>163.3</v>
      </c>
      <c r="KX29" s="2">
        <v>156.0</v>
      </c>
      <c r="KY29" s="2">
        <v>160.0</v>
      </c>
      <c r="KZ29" s="2">
        <v>163.8</v>
      </c>
      <c r="LA29" s="2">
        <v>156.0</v>
      </c>
      <c r="LB29" s="2">
        <v>160.0</v>
      </c>
      <c r="LC29" s="2">
        <v>164.7</v>
      </c>
      <c r="LD29" s="2">
        <v>157.0</v>
      </c>
      <c r="LE29" s="2">
        <v>161.0</v>
      </c>
      <c r="LF29" s="2">
        <v>165.2</v>
      </c>
      <c r="LG29" s="2">
        <v>157.3</v>
      </c>
      <c r="LH29" s="2">
        <v>161.4</v>
      </c>
      <c r="LI29" s="2">
        <v>166.0</v>
      </c>
      <c r="LJ29" s="2">
        <v>157.8</v>
      </c>
      <c r="LK29" s="2">
        <v>162.0</v>
      </c>
      <c r="LL29" s="2">
        <v>166.6</v>
      </c>
      <c r="LM29" s="2">
        <v>158.6</v>
      </c>
      <c r="LN29" s="2">
        <v>162.7</v>
      </c>
      <c r="LO29" s="2">
        <v>167.3</v>
      </c>
      <c r="LP29" s="2">
        <v>159.4</v>
      </c>
      <c r="LQ29" s="2">
        <v>163.5</v>
      </c>
      <c r="LR29" s="2">
        <v>168.3</v>
      </c>
      <c r="LS29" s="2">
        <v>160.6</v>
      </c>
      <c r="LT29" s="2">
        <v>164.6</v>
      </c>
      <c r="LU29" s="2">
        <v>170.2</v>
      </c>
      <c r="LV29" s="2">
        <v>163.1</v>
      </c>
      <c r="LW29" s="2">
        <v>166.8</v>
      </c>
      <c r="LX29" s="2">
        <v>170.9</v>
      </c>
      <c r="LY29" s="2">
        <v>163.8</v>
      </c>
      <c r="LZ29" s="2">
        <v>167.5</v>
      </c>
      <c r="MA29" s="2">
        <v>171.0</v>
      </c>
      <c r="MB29" s="2">
        <v>163.8</v>
      </c>
      <c r="MC29" s="2">
        <v>167.5</v>
      </c>
      <c r="MD29" s="2">
        <v>171.8</v>
      </c>
      <c r="ME29" s="2">
        <v>164.7</v>
      </c>
      <c r="MF29" s="2">
        <v>168.4</v>
      </c>
      <c r="MG29" s="2">
        <v>172.6</v>
      </c>
      <c r="MH29" s="2">
        <v>165.4</v>
      </c>
      <c r="MI29" s="2">
        <v>169.1</v>
      </c>
      <c r="MJ29" s="2">
        <v>173.1</v>
      </c>
      <c r="MK29" s="2">
        <v>166.1</v>
      </c>
      <c r="ML29" s="2">
        <v>169.7</v>
      </c>
      <c r="MM29" s="2">
        <v>173.9</v>
      </c>
      <c r="MN29" s="2">
        <v>166.8</v>
      </c>
      <c r="MO29" s="2">
        <v>170.5</v>
      </c>
      <c r="MP29" s="2">
        <v>174.6</v>
      </c>
      <c r="MQ29" s="2">
        <v>167.4</v>
      </c>
      <c r="MR29" s="2">
        <v>171.1</v>
      </c>
      <c r="MS29" s="2">
        <v>175.5</v>
      </c>
      <c r="MT29" s="2">
        <v>168.2</v>
      </c>
      <c r="MU29" s="2">
        <v>172.0</v>
      </c>
      <c r="MV29" s="2">
        <v>176.5</v>
      </c>
      <c r="MW29" s="2">
        <v>168.9</v>
      </c>
      <c r="MX29" s="2">
        <v>172.8</v>
      </c>
      <c r="MY29" s="2">
        <v>177.9</v>
      </c>
      <c r="MZ29" s="2">
        <v>170.0</v>
      </c>
      <c r="NA29" s="2">
        <v>174.1</v>
      </c>
      <c r="NB29" s="2">
        <v>177.9</v>
      </c>
      <c r="NC29" s="2">
        <v>170.0</v>
      </c>
      <c r="ND29" s="2">
        <v>174.1</v>
      </c>
      <c r="NE29" s="2">
        <v>178.9</v>
      </c>
      <c r="NF29" s="2">
        <v>170.9</v>
      </c>
      <c r="NG29" s="2">
        <v>175.0</v>
      </c>
      <c r="NH29" s="2">
        <v>179.5</v>
      </c>
      <c r="NI29" s="2">
        <v>171.6</v>
      </c>
      <c r="NJ29" s="2">
        <v>175.7</v>
      </c>
    </row>
    <row r="30" ht="15.75" customHeight="1">
      <c r="A30" s="2" t="s">
        <v>29</v>
      </c>
      <c r="C30" s="2">
        <v>105.1</v>
      </c>
      <c r="D30" s="2">
        <v>104.0</v>
      </c>
      <c r="E30" s="2">
        <f>SUMPRODUCT((Sheet3!$MA$1:$NJ$1="Rural+Urban")*(Sheet3!$A$4:$A$13=QUES_3!K31)*Sheet3!$MA$4:$NJ$13)</f>
        <v>2434.6</v>
      </c>
      <c r="F30" s="4">
        <f t="shared" si="1"/>
        <v>0.2823739547</v>
      </c>
      <c r="G30" s="2">
        <v>104.7</v>
      </c>
      <c r="H30" s="2">
        <v>105.3</v>
      </c>
      <c r="I30" s="2">
        <v>106.0</v>
      </c>
      <c r="J30" s="2">
        <v>105.0</v>
      </c>
      <c r="K30" s="2">
        <v>105.5</v>
      </c>
      <c r="L30" s="2">
        <v>106.4</v>
      </c>
      <c r="M30" s="2">
        <v>105.7</v>
      </c>
      <c r="N30" s="2">
        <v>106.1</v>
      </c>
      <c r="O30" s="2">
        <v>107.2</v>
      </c>
      <c r="P30" s="2">
        <v>106.6</v>
      </c>
      <c r="Q30" s="2">
        <v>106.9</v>
      </c>
      <c r="R30" s="2">
        <v>108.9</v>
      </c>
      <c r="S30" s="2">
        <v>109.7</v>
      </c>
      <c r="T30" s="2">
        <v>109.3</v>
      </c>
      <c r="U30" s="2">
        <v>110.7</v>
      </c>
      <c r="V30" s="2">
        <v>111.4</v>
      </c>
      <c r="W30" s="2">
        <v>111.0</v>
      </c>
      <c r="X30" s="2">
        <v>112.1</v>
      </c>
      <c r="Y30" s="2">
        <v>112.7</v>
      </c>
      <c r="Z30" s="2">
        <v>112.4</v>
      </c>
      <c r="AA30" s="2">
        <v>114.2</v>
      </c>
      <c r="AB30" s="2">
        <v>113.2</v>
      </c>
      <c r="AC30" s="2">
        <v>113.7</v>
      </c>
      <c r="AD30" s="2">
        <v>115.5</v>
      </c>
      <c r="AE30" s="2">
        <v>114.0</v>
      </c>
      <c r="AF30" s="2">
        <v>114.8</v>
      </c>
      <c r="AG30" s="2">
        <v>117.4</v>
      </c>
      <c r="AH30" s="2">
        <v>115.0</v>
      </c>
      <c r="AI30" s="2">
        <v>116.3</v>
      </c>
      <c r="AJ30" s="2">
        <v>115.5</v>
      </c>
      <c r="AK30" s="2">
        <v>113.3</v>
      </c>
      <c r="AL30" s="2">
        <v>114.5</v>
      </c>
      <c r="AM30" s="2">
        <v>114.2</v>
      </c>
      <c r="AN30" s="2">
        <v>112.9</v>
      </c>
      <c r="AO30" s="2">
        <v>113.6</v>
      </c>
      <c r="AP30" s="2">
        <v>114.0</v>
      </c>
      <c r="AQ30" s="2">
        <v>113.1</v>
      </c>
      <c r="AR30" s="2">
        <v>113.6</v>
      </c>
      <c r="AS30" s="2">
        <v>114.6</v>
      </c>
      <c r="AT30" s="2">
        <v>113.7</v>
      </c>
      <c r="AU30" s="2">
        <v>114.2</v>
      </c>
      <c r="AV30" s="2">
        <v>115.4</v>
      </c>
      <c r="AW30" s="2">
        <v>114.7</v>
      </c>
      <c r="AX30" s="2">
        <v>115.1</v>
      </c>
      <c r="AY30" s="2">
        <v>116.0</v>
      </c>
      <c r="AZ30" s="2">
        <v>115.6</v>
      </c>
      <c r="BA30" s="2">
        <v>115.8</v>
      </c>
      <c r="BB30" s="2">
        <v>117.0</v>
      </c>
      <c r="BC30" s="2">
        <v>116.4</v>
      </c>
      <c r="BD30" s="2">
        <v>116.7</v>
      </c>
      <c r="BE30" s="2">
        <v>119.5</v>
      </c>
      <c r="BF30" s="2">
        <v>118.9</v>
      </c>
      <c r="BG30" s="2">
        <v>119.2</v>
      </c>
      <c r="BH30" s="2">
        <v>120.7</v>
      </c>
      <c r="BI30" s="2">
        <v>119.9</v>
      </c>
      <c r="BJ30" s="2">
        <v>120.3</v>
      </c>
      <c r="BK30" s="2">
        <v>120.9</v>
      </c>
      <c r="BL30" s="2">
        <v>119.2</v>
      </c>
      <c r="BM30" s="2">
        <v>120.1</v>
      </c>
      <c r="BN30" s="2">
        <v>121.0</v>
      </c>
      <c r="BO30" s="2">
        <v>119.1</v>
      </c>
      <c r="BP30" s="2">
        <v>120.1</v>
      </c>
      <c r="BQ30" s="2">
        <v>121.1</v>
      </c>
      <c r="BR30" s="2">
        <v>119.0</v>
      </c>
      <c r="BS30" s="2">
        <v>120.1</v>
      </c>
      <c r="BT30" s="2">
        <v>120.3</v>
      </c>
      <c r="BU30" s="2">
        <v>118.4</v>
      </c>
      <c r="BV30" s="2">
        <v>119.4</v>
      </c>
      <c r="BW30" s="2">
        <v>120.3</v>
      </c>
      <c r="BX30" s="2">
        <v>118.5</v>
      </c>
      <c r="BY30" s="2">
        <v>119.5</v>
      </c>
      <c r="BZ30" s="2">
        <v>120.6</v>
      </c>
      <c r="CA30" s="2">
        <v>118.7</v>
      </c>
      <c r="CB30" s="2">
        <v>119.7</v>
      </c>
      <c r="CC30" s="2">
        <v>121.1</v>
      </c>
      <c r="CD30" s="2">
        <v>119.1</v>
      </c>
      <c r="CE30" s="2">
        <v>120.2</v>
      </c>
      <c r="CF30" s="2">
        <v>121.5</v>
      </c>
      <c r="CG30" s="2">
        <v>119.7</v>
      </c>
      <c r="CH30" s="2">
        <v>120.7</v>
      </c>
      <c r="CI30" s="2">
        <v>122.4</v>
      </c>
      <c r="CJ30" s="2">
        <v>120.7</v>
      </c>
      <c r="CK30" s="2">
        <v>121.6</v>
      </c>
      <c r="CL30" s="2">
        <v>124.1</v>
      </c>
      <c r="CM30" s="2">
        <v>121.7</v>
      </c>
      <c r="CN30" s="2">
        <v>123.0</v>
      </c>
      <c r="CO30" s="2">
        <v>124.7</v>
      </c>
      <c r="CP30" s="2">
        <v>122.4</v>
      </c>
      <c r="CQ30" s="2">
        <v>123.6</v>
      </c>
      <c r="CR30" s="2">
        <v>126.1</v>
      </c>
      <c r="CS30" s="2">
        <v>123.2</v>
      </c>
      <c r="CT30" s="2">
        <v>124.8</v>
      </c>
      <c r="CU30" s="2">
        <v>127.0</v>
      </c>
      <c r="CV30" s="2">
        <v>123.5</v>
      </c>
      <c r="CW30" s="2">
        <v>125.4</v>
      </c>
      <c r="CX30" s="2">
        <v>127.7</v>
      </c>
      <c r="CY30" s="2">
        <v>124.2</v>
      </c>
      <c r="CZ30" s="2">
        <v>126.1</v>
      </c>
      <c r="DA30" s="2">
        <v>128.3</v>
      </c>
      <c r="DB30" s="2">
        <v>124.6</v>
      </c>
      <c r="DC30" s="2">
        <v>126.6</v>
      </c>
      <c r="DD30" s="2">
        <v>127.9</v>
      </c>
      <c r="DE30" s="2">
        <v>124.0</v>
      </c>
      <c r="DF30" s="2">
        <v>126.1</v>
      </c>
      <c r="DG30" s="2">
        <v>128.1</v>
      </c>
      <c r="DH30" s="2">
        <v>124.2</v>
      </c>
      <c r="DI30" s="2">
        <v>126.3</v>
      </c>
      <c r="DJ30" s="2">
        <v>127.9</v>
      </c>
      <c r="DK30" s="2">
        <v>123.8</v>
      </c>
      <c r="DL30" s="2">
        <v>126.0</v>
      </c>
      <c r="DM30" s="2">
        <v>128.0</v>
      </c>
      <c r="DN30" s="2">
        <v>123.8</v>
      </c>
      <c r="DO30" s="2">
        <v>126.0</v>
      </c>
      <c r="DP30" s="2">
        <v>129.0</v>
      </c>
      <c r="DQ30" s="2">
        <v>125.3</v>
      </c>
      <c r="DR30" s="2">
        <v>127.3</v>
      </c>
      <c r="DS30" s="2">
        <v>130.3</v>
      </c>
      <c r="DT30" s="2">
        <v>126.6</v>
      </c>
      <c r="DU30" s="2">
        <v>128.6</v>
      </c>
      <c r="DV30" s="2">
        <v>131.9</v>
      </c>
      <c r="DW30" s="2">
        <v>128.1</v>
      </c>
      <c r="DX30" s="2">
        <v>130.1</v>
      </c>
      <c r="DY30" s="2">
        <v>133.0</v>
      </c>
      <c r="DZ30" s="2">
        <v>129.0</v>
      </c>
      <c r="EA30" s="2">
        <v>131.1</v>
      </c>
      <c r="EB30" s="2">
        <v>133.5</v>
      </c>
      <c r="EC30" s="2">
        <v>128.4</v>
      </c>
      <c r="ED30" s="2">
        <v>131.1</v>
      </c>
      <c r="EE30" s="2">
        <v>133.4</v>
      </c>
      <c r="EF30" s="2">
        <v>128.0</v>
      </c>
      <c r="EG30" s="2">
        <v>130.9</v>
      </c>
      <c r="EH30" s="2">
        <v>133.8</v>
      </c>
      <c r="EI30" s="2">
        <v>128.6</v>
      </c>
      <c r="EJ30" s="2">
        <v>131.4</v>
      </c>
      <c r="EK30" s="2">
        <v>133.6</v>
      </c>
      <c r="EL30" s="2">
        <v>128.5</v>
      </c>
      <c r="EM30" s="2">
        <v>131.2</v>
      </c>
      <c r="EN30" s="2">
        <v>132.8</v>
      </c>
      <c r="EO30" s="2">
        <v>127.6</v>
      </c>
      <c r="EP30" s="2">
        <v>130.4</v>
      </c>
      <c r="EQ30" s="2">
        <v>132.4</v>
      </c>
      <c r="ER30" s="2">
        <v>127.8</v>
      </c>
      <c r="ES30" s="2">
        <v>130.3</v>
      </c>
      <c r="ET30" s="2">
        <v>132.6</v>
      </c>
      <c r="EU30" s="2">
        <v>128.2</v>
      </c>
      <c r="EV30" s="2">
        <v>130.6</v>
      </c>
      <c r="EW30" s="2">
        <v>132.8</v>
      </c>
      <c r="EX30" s="2">
        <v>128.7</v>
      </c>
      <c r="EY30" s="2">
        <v>130.9</v>
      </c>
      <c r="EZ30" s="2">
        <v>132.9</v>
      </c>
      <c r="FA30" s="2">
        <v>129.1</v>
      </c>
      <c r="FB30" s="2">
        <v>131.1</v>
      </c>
      <c r="FC30" s="2">
        <v>133.3</v>
      </c>
      <c r="FD30" s="2">
        <v>129.3</v>
      </c>
      <c r="FE30" s="2">
        <v>131.4</v>
      </c>
      <c r="FF30" s="2">
        <v>133.9</v>
      </c>
      <c r="FG30" s="2">
        <v>129.9</v>
      </c>
      <c r="FH30" s="2">
        <v>132.0</v>
      </c>
      <c r="FI30" s="2">
        <v>136.2</v>
      </c>
      <c r="FJ30" s="2">
        <v>131.8</v>
      </c>
      <c r="FK30" s="2">
        <v>134.2</v>
      </c>
      <c r="FL30" s="2">
        <v>137.8</v>
      </c>
      <c r="FM30" s="2">
        <v>132.7</v>
      </c>
      <c r="FN30" s="2">
        <v>135.4</v>
      </c>
      <c r="FO30" s="2">
        <v>137.6</v>
      </c>
      <c r="FP30" s="2">
        <v>132.4</v>
      </c>
      <c r="FQ30" s="2">
        <v>135.2</v>
      </c>
      <c r="FR30" s="2">
        <v>138.3</v>
      </c>
      <c r="FS30" s="2">
        <v>133.5</v>
      </c>
      <c r="FT30" s="2">
        <v>136.1</v>
      </c>
      <c r="FU30" s="2">
        <v>140.0</v>
      </c>
      <c r="FV30" s="2">
        <v>134.8</v>
      </c>
      <c r="FW30" s="2">
        <v>137.6</v>
      </c>
      <c r="FX30" s="2">
        <v>139.8</v>
      </c>
      <c r="FY30" s="2">
        <v>134.1</v>
      </c>
      <c r="FZ30" s="2">
        <v>137.2</v>
      </c>
      <c r="GA30" s="2">
        <v>139.3</v>
      </c>
      <c r="GB30" s="2">
        <v>134.1</v>
      </c>
      <c r="GC30" s="2">
        <v>136.9</v>
      </c>
      <c r="GD30" s="2">
        <v>138.5</v>
      </c>
      <c r="GE30" s="2">
        <v>134.0</v>
      </c>
      <c r="GF30" s="2">
        <v>136.4</v>
      </c>
      <c r="GG30" s="2">
        <v>138.7</v>
      </c>
      <c r="GH30" s="2">
        <v>134.0</v>
      </c>
      <c r="GI30" s="2">
        <v>136.5</v>
      </c>
      <c r="GJ30" s="2">
        <v>139.1</v>
      </c>
      <c r="GK30" s="2">
        <v>134.8</v>
      </c>
      <c r="GL30" s="2">
        <v>137.1</v>
      </c>
      <c r="GM30" s="2">
        <v>139.8</v>
      </c>
      <c r="GN30" s="2">
        <v>135.4</v>
      </c>
      <c r="GO30" s="2">
        <v>137.8</v>
      </c>
      <c r="GP30" s="2">
        <v>140.5</v>
      </c>
      <c r="GQ30" s="2">
        <v>136.2</v>
      </c>
      <c r="GR30" s="2">
        <v>138.5</v>
      </c>
      <c r="GS30" s="2">
        <v>141.8</v>
      </c>
      <c r="GT30" s="2">
        <v>137.5</v>
      </c>
      <c r="GU30" s="2">
        <v>139.8</v>
      </c>
      <c r="GV30" s="2">
        <v>142.5</v>
      </c>
      <c r="GW30" s="2">
        <v>138.0</v>
      </c>
      <c r="GX30" s="2">
        <v>140.4</v>
      </c>
      <c r="GY30" s="2">
        <v>142.1</v>
      </c>
      <c r="GZ30" s="2">
        <v>138.1</v>
      </c>
      <c r="HA30" s="2">
        <v>140.2</v>
      </c>
      <c r="HB30" s="2">
        <v>142.2</v>
      </c>
      <c r="HC30" s="2">
        <v>138.9</v>
      </c>
      <c r="HD30" s="2">
        <v>140.8</v>
      </c>
      <c r="HE30" s="2">
        <v>142.4</v>
      </c>
      <c r="HF30" s="2">
        <v>139.0</v>
      </c>
      <c r="HG30" s="2">
        <v>140.8</v>
      </c>
      <c r="HH30" s="2">
        <v>141.9</v>
      </c>
      <c r="HI30" s="2">
        <v>138.0</v>
      </c>
      <c r="HJ30" s="2">
        <v>140.1</v>
      </c>
      <c r="HK30" s="2">
        <v>141.0</v>
      </c>
      <c r="HL30" s="2">
        <v>138.0</v>
      </c>
      <c r="HM30" s="2">
        <v>139.6</v>
      </c>
      <c r="HN30" s="2">
        <v>141.0</v>
      </c>
      <c r="HO30" s="2">
        <v>138.6</v>
      </c>
      <c r="HP30" s="2">
        <v>139.9</v>
      </c>
      <c r="HQ30" s="2">
        <v>141.2</v>
      </c>
      <c r="HR30" s="2">
        <v>139.5</v>
      </c>
      <c r="HS30" s="2">
        <v>140.4</v>
      </c>
      <c r="HT30" s="2">
        <v>142.4</v>
      </c>
      <c r="HU30" s="2">
        <v>141.5</v>
      </c>
      <c r="HV30" s="2">
        <v>142.0</v>
      </c>
      <c r="HW30" s="2">
        <v>143.6</v>
      </c>
      <c r="HX30" s="2">
        <v>142.1</v>
      </c>
      <c r="HY30" s="2">
        <v>142.9</v>
      </c>
      <c r="HZ30" s="2">
        <v>144.9</v>
      </c>
      <c r="IA30" s="2">
        <v>143.3</v>
      </c>
      <c r="IB30" s="2">
        <v>144.2</v>
      </c>
      <c r="IC30" s="2">
        <v>145.7</v>
      </c>
      <c r="ID30" s="2">
        <v>144.2</v>
      </c>
      <c r="IE30" s="2">
        <v>145.0</v>
      </c>
      <c r="IF30" s="2">
        <v>146.7</v>
      </c>
      <c r="IG30" s="2">
        <v>144.7</v>
      </c>
      <c r="IH30" s="2">
        <v>145.8</v>
      </c>
      <c r="II30" s="2">
        <v>148.3</v>
      </c>
      <c r="IJ30" s="2">
        <v>146.0</v>
      </c>
      <c r="IK30" s="2">
        <v>147.2</v>
      </c>
      <c r="IL30" s="2">
        <v>149.9</v>
      </c>
      <c r="IM30" s="2">
        <v>147.0</v>
      </c>
      <c r="IN30" s="2">
        <v>148.6</v>
      </c>
      <c r="IO30" s="2">
        <v>152.3</v>
      </c>
      <c r="IP30" s="2">
        <v>148.3</v>
      </c>
      <c r="IQ30" s="2">
        <v>150.4</v>
      </c>
      <c r="IR30" s="2">
        <v>151.9</v>
      </c>
      <c r="IS30" s="2">
        <v>148.2</v>
      </c>
      <c r="IT30" s="2">
        <v>150.2</v>
      </c>
      <c r="IU30" s="2">
        <v>150.4</v>
      </c>
      <c r="IV30" s="2">
        <v>147.7</v>
      </c>
      <c r="IW30" s="2">
        <v>149.1</v>
      </c>
      <c r="IX30" s="2">
        <v>149.8</v>
      </c>
      <c r="IY30" s="2">
        <v>147.3</v>
      </c>
      <c r="IZ30" s="2">
        <v>148.6</v>
      </c>
      <c r="JA30" s="2" t="s">
        <v>32</v>
      </c>
      <c r="JB30" s="2" t="s">
        <v>32</v>
      </c>
      <c r="JC30" s="2" t="s">
        <v>32</v>
      </c>
      <c r="JD30" s="2" t="s">
        <v>32</v>
      </c>
      <c r="JE30" s="2" t="s">
        <v>32</v>
      </c>
      <c r="JF30" s="2" t="s">
        <v>32</v>
      </c>
      <c r="JG30" s="2">
        <v>152.7</v>
      </c>
      <c r="JH30" s="2">
        <v>150.8</v>
      </c>
      <c r="JI30" s="2">
        <v>151.8</v>
      </c>
      <c r="JJ30" s="2">
        <v>152.7</v>
      </c>
      <c r="JK30" s="2">
        <v>150.8</v>
      </c>
      <c r="JL30" s="2">
        <v>151.8</v>
      </c>
      <c r="JM30" s="2">
        <v>154.7</v>
      </c>
      <c r="JN30" s="2">
        <v>152.9</v>
      </c>
      <c r="JO30" s="2">
        <v>153.9</v>
      </c>
      <c r="JP30" s="2">
        <v>155.4</v>
      </c>
      <c r="JQ30" s="2">
        <v>154.0</v>
      </c>
      <c r="JR30" s="2">
        <v>154.7</v>
      </c>
      <c r="JS30" s="2">
        <v>157.5</v>
      </c>
      <c r="JT30" s="2">
        <v>155.2</v>
      </c>
      <c r="JU30" s="2">
        <v>156.4</v>
      </c>
      <c r="JV30" s="2">
        <v>159.8</v>
      </c>
      <c r="JW30" s="2">
        <v>156.7</v>
      </c>
      <c r="JX30" s="2">
        <v>158.4</v>
      </c>
      <c r="JY30" s="2">
        <v>160.7</v>
      </c>
      <c r="JZ30" s="2">
        <v>156.9</v>
      </c>
      <c r="KA30" s="2">
        <v>158.9</v>
      </c>
      <c r="KB30" s="2">
        <v>158.5</v>
      </c>
      <c r="KC30" s="2">
        <v>156.0</v>
      </c>
      <c r="KD30" s="2">
        <v>157.3</v>
      </c>
      <c r="KE30" s="2">
        <v>156.7</v>
      </c>
      <c r="KF30" s="2">
        <v>156.5</v>
      </c>
      <c r="KG30" s="2">
        <v>156.6</v>
      </c>
      <c r="KH30" s="2">
        <v>156.7</v>
      </c>
      <c r="KI30" s="2">
        <v>156.9</v>
      </c>
      <c r="KJ30" s="2">
        <v>156.8</v>
      </c>
      <c r="KK30" s="2">
        <v>157.6</v>
      </c>
      <c r="KL30" s="2">
        <v>158.0</v>
      </c>
      <c r="KM30" s="2">
        <v>157.8</v>
      </c>
      <c r="KN30" s="2">
        <v>161.1</v>
      </c>
      <c r="KO30" s="2">
        <v>159.5</v>
      </c>
      <c r="KP30" s="2">
        <v>160.4</v>
      </c>
      <c r="KQ30" s="2">
        <v>162.1</v>
      </c>
      <c r="KR30" s="2">
        <v>160.4</v>
      </c>
      <c r="KS30" s="2">
        <v>161.3</v>
      </c>
      <c r="KT30" s="2">
        <v>163.2</v>
      </c>
      <c r="KU30" s="2">
        <v>161.8</v>
      </c>
      <c r="KV30" s="2">
        <v>162.5</v>
      </c>
      <c r="KW30" s="2">
        <v>163.6</v>
      </c>
      <c r="KX30" s="2">
        <v>162.3</v>
      </c>
      <c r="KY30" s="2">
        <v>163.2</v>
      </c>
      <c r="KZ30" s="2">
        <v>164.0</v>
      </c>
      <c r="LA30" s="2">
        <v>162.3</v>
      </c>
      <c r="LB30" s="2">
        <v>163.2</v>
      </c>
      <c r="LC30" s="2">
        <v>166.3</v>
      </c>
      <c r="LD30" s="2">
        <v>164.6</v>
      </c>
      <c r="LE30" s="2">
        <v>165.5</v>
      </c>
      <c r="LF30" s="2">
        <v>167.6</v>
      </c>
      <c r="LG30" s="2">
        <v>165.6</v>
      </c>
      <c r="LH30" s="2">
        <v>166.7</v>
      </c>
      <c r="LI30" s="2">
        <v>167.0</v>
      </c>
      <c r="LJ30" s="2">
        <v>165.2</v>
      </c>
      <c r="LK30" s="2">
        <v>166.2</v>
      </c>
      <c r="LL30" s="2">
        <v>166.4</v>
      </c>
      <c r="LM30" s="2">
        <v>165.0</v>
      </c>
      <c r="LN30" s="2">
        <v>165.7</v>
      </c>
      <c r="LO30" s="2">
        <v>166.7</v>
      </c>
      <c r="LP30" s="2">
        <v>165.5</v>
      </c>
      <c r="LQ30" s="2">
        <v>166.1</v>
      </c>
      <c r="LR30" s="2">
        <v>168.7</v>
      </c>
      <c r="LS30" s="2">
        <v>166.5</v>
      </c>
      <c r="LT30" s="2">
        <v>167.7</v>
      </c>
      <c r="LU30" s="2">
        <v>170.8</v>
      </c>
      <c r="LV30" s="2">
        <v>169.2</v>
      </c>
      <c r="LW30" s="2">
        <v>170.1</v>
      </c>
      <c r="LX30" s="2">
        <v>172.5</v>
      </c>
      <c r="LY30" s="2">
        <v>170.8</v>
      </c>
      <c r="LZ30" s="2">
        <v>171.7</v>
      </c>
      <c r="MA30" s="2">
        <v>173.6</v>
      </c>
      <c r="MB30" s="2">
        <v>171.4</v>
      </c>
      <c r="MC30" s="2">
        <v>172.6</v>
      </c>
      <c r="MD30" s="2">
        <v>174.3</v>
      </c>
      <c r="ME30" s="2">
        <v>172.3</v>
      </c>
      <c r="MF30" s="2">
        <v>173.4</v>
      </c>
      <c r="MG30" s="2">
        <v>175.3</v>
      </c>
      <c r="MH30" s="2">
        <v>173.1</v>
      </c>
      <c r="MI30" s="2">
        <v>174.3</v>
      </c>
      <c r="MJ30" s="2">
        <v>176.4</v>
      </c>
      <c r="MK30" s="2">
        <v>174.1</v>
      </c>
      <c r="ML30" s="2">
        <v>175.3</v>
      </c>
      <c r="MM30" s="2">
        <v>177.9</v>
      </c>
      <c r="MN30" s="2">
        <v>175.3</v>
      </c>
      <c r="MO30" s="2">
        <v>176.7</v>
      </c>
      <c r="MP30" s="2">
        <v>177.8</v>
      </c>
      <c r="MQ30" s="2">
        <v>174.1</v>
      </c>
      <c r="MR30" s="2">
        <v>176.5</v>
      </c>
      <c r="MS30" s="2">
        <v>177.1</v>
      </c>
      <c r="MT30" s="2">
        <v>174.1</v>
      </c>
      <c r="MU30" s="2">
        <v>175.7</v>
      </c>
      <c r="MV30" s="2">
        <v>177.8</v>
      </c>
      <c r="MW30" s="2">
        <v>174.9</v>
      </c>
      <c r="MX30" s="2">
        <v>176.5</v>
      </c>
      <c r="MY30" s="2">
        <v>178.0</v>
      </c>
      <c r="MZ30" s="2">
        <v>176.3</v>
      </c>
      <c r="NA30" s="2">
        <v>177.2</v>
      </c>
      <c r="NB30" s="2">
        <v>178.0</v>
      </c>
      <c r="NC30" s="2">
        <v>176.3</v>
      </c>
      <c r="ND30" s="2">
        <v>177.2</v>
      </c>
      <c r="NE30" s="2">
        <v>178.8</v>
      </c>
      <c r="NF30" s="2">
        <v>177.4</v>
      </c>
      <c r="NG30" s="2">
        <v>178.1</v>
      </c>
      <c r="NH30" s="2">
        <v>179.8</v>
      </c>
      <c r="NI30" s="2">
        <v>178.2</v>
      </c>
      <c r="NJ30" s="2">
        <v>179.1</v>
      </c>
    </row>
    <row r="31" ht="15.75" customHeight="1">
      <c r="C31" s="5" t="s">
        <v>52</v>
      </c>
      <c r="E31" s="2">
        <f>SUM(E21:E30)</f>
        <v>8621.9</v>
      </c>
      <c r="F31" s="4">
        <f t="shared" si="1"/>
        <v>1</v>
      </c>
    </row>
    <row r="32" ht="15.75" customHeight="1">
      <c r="NA32" s="2">
        <f>SUM(NA4:NA13)</f>
        <v>1736.8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M38" s="2" t="s">
        <v>53</v>
      </c>
      <c r="N38" s="2" t="s">
        <v>54</v>
      </c>
    </row>
    <row r="39" ht="15.75" customHeight="1">
      <c r="M39" s="6">
        <f>(ES30-GC30)/ES30</f>
        <v>-0.05065234075</v>
      </c>
      <c r="N39" s="6">
        <f>(GC30-HM30)/GC30</f>
        <v>-0.01972242513</v>
      </c>
    </row>
    <row r="40" ht="15.75" customHeight="1"/>
    <row r="41" ht="15.75" customHeight="1">
      <c r="M41" s="2">
        <f>(135-130)/130</f>
        <v>0.03846153846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J$30"/>
  <mergeCells count="1">
    <mergeCell ref="C31:D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33.43"/>
    <col customWidth="1" min="4" max="4" width="27.71"/>
    <col customWidth="1" min="5" max="5" width="16.29"/>
    <col customWidth="1" min="6" max="6" width="12.43"/>
    <col customWidth="1" min="7" max="9" width="8.71"/>
    <col customWidth="1" min="10" max="10" width="37.29"/>
    <col customWidth="1" min="11" max="11" width="11.86"/>
    <col customWidth="1" min="12" max="14" width="8.71"/>
    <col customWidth="1" min="15" max="15" width="54.14"/>
    <col customWidth="1" min="16" max="26" width="8.71"/>
  </cols>
  <sheetData>
    <row r="1" ht="51.0" customHeight="1">
      <c r="A1" s="7" t="s">
        <v>55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4" ht="22.5" customHeight="1">
      <c r="C4" s="8" t="s">
        <v>56</v>
      </c>
      <c r="D4" s="9" t="s">
        <v>57</v>
      </c>
      <c r="J4" s="8" t="s">
        <v>56</v>
      </c>
      <c r="K4" s="2" t="s">
        <v>58</v>
      </c>
    </row>
    <row r="5">
      <c r="C5" s="10" t="s">
        <v>3</v>
      </c>
      <c r="D5" s="2" t="s">
        <v>59</v>
      </c>
      <c r="J5" s="2" t="s">
        <v>3</v>
      </c>
      <c r="K5" s="11" t="s">
        <v>60</v>
      </c>
    </row>
    <row r="6">
      <c r="C6" s="10" t="s">
        <v>4</v>
      </c>
      <c r="D6" s="2" t="s">
        <v>59</v>
      </c>
      <c r="J6" s="2" t="s">
        <v>4</v>
      </c>
      <c r="K6" s="12" t="s">
        <v>61</v>
      </c>
      <c r="N6" s="2" t="s">
        <v>62</v>
      </c>
    </row>
    <row r="7">
      <c r="C7" s="10" t="s">
        <v>5</v>
      </c>
      <c r="D7" s="2" t="s">
        <v>59</v>
      </c>
      <c r="J7" s="2" t="s">
        <v>5</v>
      </c>
      <c r="K7" s="11" t="s">
        <v>5</v>
      </c>
    </row>
    <row r="8">
      <c r="C8" s="10" t="s">
        <v>6</v>
      </c>
      <c r="D8" s="2" t="s">
        <v>59</v>
      </c>
      <c r="J8" s="2" t="s">
        <v>6</v>
      </c>
      <c r="K8" s="11" t="s">
        <v>63</v>
      </c>
      <c r="N8" s="2" t="s">
        <v>64</v>
      </c>
      <c r="O8" s="13" t="s">
        <v>65</v>
      </c>
    </row>
    <row r="9">
      <c r="C9" s="10" t="s">
        <v>7</v>
      </c>
      <c r="D9" s="2" t="s">
        <v>59</v>
      </c>
      <c r="J9" s="2" t="s">
        <v>7</v>
      </c>
      <c r="K9" s="11" t="s">
        <v>66</v>
      </c>
      <c r="N9" s="2" t="s">
        <v>67</v>
      </c>
      <c r="O9" s="2" t="s">
        <v>68</v>
      </c>
    </row>
    <row r="10">
      <c r="C10" s="10" t="s">
        <v>8</v>
      </c>
      <c r="D10" s="2" t="s">
        <v>59</v>
      </c>
      <c r="J10" s="2" t="s">
        <v>8</v>
      </c>
      <c r="K10" s="11" t="s">
        <v>8</v>
      </c>
      <c r="N10" s="2" t="s">
        <v>69</v>
      </c>
      <c r="O10" s="2" t="s">
        <v>70</v>
      </c>
    </row>
    <row r="11">
      <c r="C11" s="10" t="s">
        <v>9</v>
      </c>
      <c r="D11" s="2" t="s">
        <v>59</v>
      </c>
      <c r="J11" s="2" t="s">
        <v>9</v>
      </c>
      <c r="K11" s="11" t="s">
        <v>9</v>
      </c>
      <c r="N11" s="2" t="s">
        <v>71</v>
      </c>
      <c r="O11" s="14" t="s">
        <v>72</v>
      </c>
    </row>
    <row r="12">
      <c r="C12" s="10" t="s">
        <v>10</v>
      </c>
      <c r="D12" s="2" t="s">
        <v>59</v>
      </c>
      <c r="J12" s="2" t="s">
        <v>10</v>
      </c>
      <c r="K12" s="11" t="s">
        <v>73</v>
      </c>
      <c r="N12" s="2" t="s">
        <v>74</v>
      </c>
      <c r="O12" s="2" t="s">
        <v>75</v>
      </c>
    </row>
    <row r="13">
      <c r="C13" s="10" t="s">
        <v>11</v>
      </c>
      <c r="D13" s="2" t="s">
        <v>59</v>
      </c>
      <c r="J13" s="2" t="s">
        <v>11</v>
      </c>
      <c r="K13" s="11" t="s">
        <v>76</v>
      </c>
    </row>
    <row r="14">
      <c r="C14" s="10" t="s">
        <v>12</v>
      </c>
      <c r="D14" s="2" t="s">
        <v>59</v>
      </c>
      <c r="J14" s="2" t="s">
        <v>12</v>
      </c>
      <c r="K14" s="11" t="s">
        <v>12</v>
      </c>
    </row>
    <row r="15">
      <c r="C15" s="10" t="s">
        <v>13</v>
      </c>
      <c r="D15" s="2" t="s">
        <v>50</v>
      </c>
      <c r="J15" s="2" t="s">
        <v>13</v>
      </c>
      <c r="K15" s="11" t="s">
        <v>77</v>
      </c>
    </row>
    <row r="16">
      <c r="C16" s="10" t="s">
        <v>14</v>
      </c>
      <c r="D16" s="2" t="s">
        <v>50</v>
      </c>
      <c r="J16" s="2" t="s">
        <v>14</v>
      </c>
      <c r="K16" s="11" t="s">
        <v>78</v>
      </c>
    </row>
    <row r="17">
      <c r="C17" s="10" t="s">
        <v>15</v>
      </c>
      <c r="D17" s="2" t="s">
        <v>50</v>
      </c>
      <c r="J17" s="2" t="s">
        <v>15</v>
      </c>
      <c r="K17" s="11" t="s">
        <v>79</v>
      </c>
    </row>
    <row r="18">
      <c r="C18" s="10" t="s">
        <v>16</v>
      </c>
      <c r="J18" s="2" t="s">
        <v>16</v>
      </c>
      <c r="K18" s="11" t="s">
        <v>80</v>
      </c>
    </row>
    <row r="19">
      <c r="C19" s="10" t="s">
        <v>17</v>
      </c>
      <c r="D19" s="2" t="s">
        <v>81</v>
      </c>
      <c r="J19" s="2" t="s">
        <v>17</v>
      </c>
      <c r="K19" s="11" t="s">
        <v>17</v>
      </c>
    </row>
    <row r="20">
      <c r="C20" s="10" t="s">
        <v>18</v>
      </c>
      <c r="D20" s="2" t="s">
        <v>81</v>
      </c>
      <c r="J20" s="2" t="s">
        <v>18</v>
      </c>
      <c r="K20" s="11" t="s">
        <v>18</v>
      </c>
    </row>
    <row r="21" ht="15.75" customHeight="1">
      <c r="C21" s="10" t="s">
        <v>19</v>
      </c>
      <c r="D21" s="2" t="s">
        <v>81</v>
      </c>
      <c r="F21" s="4"/>
      <c r="J21" s="2" t="s">
        <v>19</v>
      </c>
      <c r="K21" s="11" t="s">
        <v>82</v>
      </c>
    </row>
    <row r="22" ht="15.75" customHeight="1">
      <c r="C22" s="10" t="s">
        <v>20</v>
      </c>
      <c r="D22" s="2" t="s">
        <v>81</v>
      </c>
      <c r="F22" s="4"/>
      <c r="J22" s="2" t="s">
        <v>20</v>
      </c>
      <c r="K22" s="11" t="s">
        <v>20</v>
      </c>
    </row>
    <row r="23" ht="15.75" customHeight="1">
      <c r="C23" s="10" t="s">
        <v>21</v>
      </c>
      <c r="D23" s="2" t="s">
        <v>81</v>
      </c>
      <c r="F23" s="4"/>
      <c r="J23" s="2" t="s">
        <v>21</v>
      </c>
      <c r="K23" s="11" t="s">
        <v>83</v>
      </c>
    </row>
    <row r="24" ht="15.75" customHeight="1">
      <c r="C24" s="10" t="s">
        <v>22</v>
      </c>
      <c r="D24" s="2" t="s">
        <v>51</v>
      </c>
      <c r="F24" s="4"/>
      <c r="J24" s="2" t="s">
        <v>22</v>
      </c>
      <c r="K24" s="11" t="s">
        <v>84</v>
      </c>
    </row>
    <row r="25" ht="15.75" customHeight="1">
      <c r="C25" s="10" t="s">
        <v>23</v>
      </c>
      <c r="D25" s="2" t="s">
        <v>51</v>
      </c>
      <c r="F25" s="4"/>
      <c r="J25" s="2" t="s">
        <v>23</v>
      </c>
      <c r="K25" s="11" t="s">
        <v>23</v>
      </c>
    </row>
    <row r="26" ht="15.75" customHeight="1">
      <c r="C26" s="10" t="s">
        <v>27</v>
      </c>
      <c r="D26" s="2" t="s">
        <v>51</v>
      </c>
      <c r="F26" s="4"/>
      <c r="J26" s="2" t="s">
        <v>24</v>
      </c>
      <c r="K26" s="11" t="s">
        <v>85</v>
      </c>
    </row>
    <row r="27" ht="15.75" customHeight="1">
      <c r="C27" s="10" t="s">
        <v>24</v>
      </c>
      <c r="D27" s="2" t="s">
        <v>86</v>
      </c>
      <c r="F27" s="4"/>
      <c r="J27" s="2" t="s">
        <v>25</v>
      </c>
      <c r="K27" s="11" t="s">
        <v>87</v>
      </c>
    </row>
    <row r="28" ht="15.75" customHeight="1">
      <c r="C28" s="10" t="s">
        <v>25</v>
      </c>
      <c r="D28" s="2" t="s">
        <v>86</v>
      </c>
      <c r="F28" s="4"/>
      <c r="J28" s="2" t="s">
        <v>26</v>
      </c>
      <c r="K28" s="11" t="s">
        <v>26</v>
      </c>
    </row>
    <row r="29" ht="15.75" customHeight="1">
      <c r="C29" s="10" t="s">
        <v>26</v>
      </c>
      <c r="D29" s="2" t="s">
        <v>86</v>
      </c>
      <c r="F29" s="4"/>
      <c r="I29" s="10"/>
      <c r="J29" s="2" t="s">
        <v>27</v>
      </c>
      <c r="K29" s="11" t="s">
        <v>88</v>
      </c>
    </row>
    <row r="30" ht="15.75" customHeight="1">
      <c r="C30" s="10" t="s">
        <v>28</v>
      </c>
      <c r="D30" s="2" t="s">
        <v>86</v>
      </c>
      <c r="F30" s="4"/>
      <c r="J30" s="2" t="s">
        <v>28</v>
      </c>
      <c r="K30" s="11" t="s">
        <v>89</v>
      </c>
    </row>
    <row r="31" ht="15.75" customHeight="1">
      <c r="C31" s="5" t="s">
        <v>52</v>
      </c>
      <c r="F31" s="4"/>
    </row>
    <row r="32" ht="15.75" customHeight="1">
      <c r="E32" s="2" t="s">
        <v>58</v>
      </c>
    </row>
    <row r="33" ht="15.75" customHeight="1">
      <c r="C33" s="9" t="s">
        <v>90</v>
      </c>
      <c r="D33" s="2" t="s">
        <v>91</v>
      </c>
      <c r="E33" s="2" t="s">
        <v>91</v>
      </c>
    </row>
    <row r="34" ht="15.75" customHeight="1">
      <c r="D34" s="2" t="s">
        <v>50</v>
      </c>
      <c r="E34" s="2" t="s">
        <v>92</v>
      </c>
    </row>
    <row r="35" ht="15.75" customHeight="1">
      <c r="D35" s="2" t="s">
        <v>81</v>
      </c>
      <c r="E35" s="2" t="s">
        <v>93</v>
      </c>
    </row>
    <row r="36" ht="15.75" customHeight="1">
      <c r="D36" s="2" t="s">
        <v>51</v>
      </c>
      <c r="E36" s="2" t="s">
        <v>94</v>
      </c>
    </row>
    <row r="37" ht="15.75" customHeight="1">
      <c r="D37" s="2" t="s">
        <v>86</v>
      </c>
      <c r="E37" s="2" t="s">
        <v>95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C31:D3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71"/>
    <col customWidth="1" min="4" max="4" width="15.57"/>
    <col customWidth="1" min="5" max="5" width="16.29"/>
    <col customWidth="1" min="6" max="6" width="12.43"/>
    <col customWidth="1" min="7" max="8" width="10.0"/>
    <col customWidth="1" min="9" max="9" width="18.57"/>
    <col customWidth="1" min="10" max="10" width="4.0"/>
    <col customWidth="1" min="11" max="18" width="6.0"/>
    <col customWidth="1" min="19" max="30" width="8.71"/>
  </cols>
  <sheetData>
    <row r="2">
      <c r="B2" s="15" t="s">
        <v>96</v>
      </c>
      <c r="C2" s="15" t="s">
        <v>97</v>
      </c>
      <c r="D2" s="15"/>
      <c r="E2" s="15"/>
      <c r="F2" s="15"/>
      <c r="G2" s="15"/>
      <c r="H2" s="15"/>
    </row>
    <row r="5">
      <c r="C5" s="16" t="s">
        <v>98</v>
      </c>
    </row>
    <row r="6">
      <c r="C6" s="17"/>
    </row>
    <row r="7">
      <c r="C7" s="18" t="s">
        <v>99</v>
      </c>
      <c r="D7" s="19" t="s">
        <v>100</v>
      </c>
      <c r="E7" s="20" t="s">
        <v>101</v>
      </c>
      <c r="F7" s="21" t="s">
        <v>102</v>
      </c>
      <c r="G7" s="19" t="s">
        <v>103</v>
      </c>
      <c r="H7" s="20" t="s">
        <v>101</v>
      </c>
      <c r="I7" s="22" t="s">
        <v>102</v>
      </c>
    </row>
    <row r="8">
      <c r="C8" s="23" t="s">
        <v>91</v>
      </c>
      <c r="D8" s="24">
        <f>SUMIF(Sheet3!$B$4:$B$29,QUES_1!$C8,Sheet3!$C$4:$C$29)</f>
        <v>1054.7</v>
      </c>
      <c r="E8" s="25">
        <f>SUMIF(Sheet3!$B$4:$B$29,QUES_1!$C8,Sheet3!$D$4:$D$29)</f>
        <v>1057.5</v>
      </c>
      <c r="F8" s="26">
        <f>SUMIF(Sheet3!$B$4:$B$29,QUES_1!$C8,Sheet3!$E$4:$E$29)</f>
        <v>1055.5</v>
      </c>
      <c r="G8" s="27">
        <f t="shared" ref="G8:G13" si="1">D8/$D$13</f>
        <v>0.4011791556</v>
      </c>
      <c r="H8" s="28">
        <f t="shared" ref="H8:H13" si="2">E8/$E$13</f>
        <v>0.40291854</v>
      </c>
      <c r="I8" s="29">
        <f t="shared" ref="I8:I13" si="3">F8/$F$13</f>
        <v>0.1322068715</v>
      </c>
    </row>
    <row r="9">
      <c r="C9" s="23" t="s">
        <v>92</v>
      </c>
      <c r="D9" s="24">
        <v>422.1</v>
      </c>
      <c r="E9" s="25">
        <v>424.09999999999997</v>
      </c>
      <c r="F9" s="26">
        <v>422.9</v>
      </c>
      <c r="G9" s="27">
        <f t="shared" si="1"/>
        <v>0.1605553442</v>
      </c>
      <c r="H9" s="28">
        <f t="shared" si="2"/>
        <v>0.1615865275</v>
      </c>
      <c r="I9" s="29">
        <f t="shared" si="3"/>
        <v>0.05297042725</v>
      </c>
    </row>
    <row r="10">
      <c r="C10" s="23" t="s">
        <v>93</v>
      </c>
      <c r="D10" s="24">
        <v>424.20000000000005</v>
      </c>
      <c r="E10" s="25">
        <v>416.5</v>
      </c>
      <c r="F10" s="26">
        <v>318.0</v>
      </c>
      <c r="G10" s="27">
        <f t="shared" si="1"/>
        <v>0.161354127</v>
      </c>
      <c r="H10" s="28">
        <f t="shared" si="2"/>
        <v>0.1586908481</v>
      </c>
      <c r="I10" s="29">
        <f t="shared" si="3"/>
        <v>0.03983115598</v>
      </c>
    </row>
    <row r="11">
      <c r="C11" s="23" t="s">
        <v>94</v>
      </c>
      <c r="D11" s="24">
        <v>313.5</v>
      </c>
      <c r="E11" s="25">
        <v>313.2</v>
      </c>
      <c r="F11" s="26">
        <v>2115.1</v>
      </c>
      <c r="G11" s="27">
        <f t="shared" si="1"/>
        <v>0.1192468619</v>
      </c>
      <c r="H11" s="28">
        <f t="shared" si="2"/>
        <v>0.1193324697</v>
      </c>
      <c r="I11" s="29">
        <f t="shared" si="3"/>
        <v>0.2649272894</v>
      </c>
    </row>
    <row r="12">
      <c r="C12" s="23" t="s">
        <v>95</v>
      </c>
      <c r="D12" s="24">
        <v>414.5</v>
      </c>
      <c r="E12" s="25">
        <v>413.3</v>
      </c>
      <c r="F12" s="26">
        <v>4072.2</v>
      </c>
      <c r="G12" s="27">
        <f t="shared" si="1"/>
        <v>0.1576645112</v>
      </c>
      <c r="H12" s="28">
        <f t="shared" si="2"/>
        <v>0.1574716147</v>
      </c>
      <c r="I12" s="29">
        <f t="shared" si="3"/>
        <v>0.5100642559</v>
      </c>
    </row>
    <row r="13">
      <c r="C13" s="30" t="s">
        <v>104</v>
      </c>
      <c r="D13" s="30">
        <f>SUBTOTAL(109,QUES_1!$D$8:$D$12)</f>
        <v>2629</v>
      </c>
      <c r="E13" s="30">
        <f>SUBTOTAL(109,QUES_1!$E$8:$E$12)</f>
        <v>2624.6</v>
      </c>
      <c r="F13" s="30">
        <f>SUBTOTAL(109,QUES_1!$F$8:$F$12)</f>
        <v>7983.7</v>
      </c>
      <c r="G13" s="31">
        <f t="shared" si="1"/>
        <v>1</v>
      </c>
      <c r="H13" s="31">
        <f t="shared" si="2"/>
        <v>1</v>
      </c>
      <c r="I13" s="31">
        <f t="shared" si="3"/>
        <v>1</v>
      </c>
    </row>
    <row r="16" ht="33.75" customHeight="1"/>
    <row r="19">
      <c r="C19" s="32" t="s">
        <v>105</v>
      </c>
      <c r="D19" s="33"/>
      <c r="E19" s="33"/>
      <c r="F19" s="34"/>
      <c r="G19" s="33"/>
      <c r="H19" s="33"/>
      <c r="I19" s="35"/>
    </row>
    <row r="20" ht="18.75" customHeight="1">
      <c r="C20" s="36" t="s">
        <v>106</v>
      </c>
      <c r="I20" s="37"/>
    </row>
    <row r="21" ht="18.75" customHeight="1">
      <c r="C21" s="36" t="s">
        <v>107</v>
      </c>
      <c r="E21" s="38"/>
      <c r="F21" s="38"/>
      <c r="G21" s="38"/>
      <c r="H21" s="38"/>
      <c r="I21" s="39"/>
    </row>
    <row r="22" ht="15.75" customHeight="1">
      <c r="C22" s="36"/>
      <c r="D22" s="38"/>
      <c r="E22" s="38"/>
      <c r="F22" s="38"/>
      <c r="G22" s="38"/>
      <c r="H22" s="38"/>
      <c r="I22" s="39"/>
    </row>
    <row r="23" ht="15.75" customHeight="1">
      <c r="C23" s="40" t="s">
        <v>108</v>
      </c>
      <c r="I23" s="39"/>
    </row>
    <row r="24" ht="15.75" customHeight="1">
      <c r="C24" s="40"/>
      <c r="D24" s="41"/>
      <c r="E24" s="41"/>
      <c r="F24" s="41"/>
      <c r="G24" s="41"/>
      <c r="H24" s="41"/>
      <c r="I24" s="39"/>
    </row>
    <row r="25" ht="15.75" customHeight="1">
      <c r="C25" s="40" t="s">
        <v>109</v>
      </c>
      <c r="I25" s="39"/>
    </row>
    <row r="26" ht="15.75" customHeight="1">
      <c r="C26" s="40" t="s">
        <v>110</v>
      </c>
      <c r="D26" s="41"/>
      <c r="E26" s="41"/>
      <c r="F26" s="41"/>
      <c r="G26" s="41"/>
      <c r="H26" s="41"/>
      <c r="I26" s="39"/>
    </row>
    <row r="27" ht="15.75" customHeight="1">
      <c r="C27" s="40"/>
      <c r="D27" s="41"/>
      <c r="E27" s="41"/>
      <c r="F27" s="41"/>
      <c r="G27" s="41"/>
      <c r="H27" s="41"/>
      <c r="I27" s="39"/>
    </row>
    <row r="28" ht="15.0" customHeight="1">
      <c r="C28" s="40" t="s">
        <v>111</v>
      </c>
      <c r="I28" s="39"/>
    </row>
    <row r="29" ht="15.0" customHeight="1">
      <c r="C29" s="40"/>
      <c r="I29" s="39"/>
    </row>
    <row r="30" ht="15.0" customHeight="1">
      <c r="C30" s="42" t="s">
        <v>112</v>
      </c>
      <c r="D30" s="43"/>
      <c r="E30" s="43"/>
      <c r="F30" s="43"/>
      <c r="G30" s="43"/>
      <c r="H30" s="43"/>
      <c r="I30" s="44"/>
    </row>
    <row r="31" ht="15.75" customHeight="1"/>
    <row r="32" ht="15.75" customHeight="1"/>
    <row r="33" ht="15.75" customHeight="1">
      <c r="R33" s="3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5:C6"/>
    <mergeCell ref="C20:I20"/>
    <mergeCell ref="C21:D21"/>
    <mergeCell ref="C23:H23"/>
    <mergeCell ref="C25:H2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8.71"/>
    <col customWidth="1" min="4" max="4" width="25.57"/>
    <col customWidth="1" min="5" max="5" width="23.43"/>
    <col customWidth="1" min="6" max="6" width="12.43"/>
    <col customWidth="1" min="7" max="23" width="8.71"/>
    <col customWidth="1" min="24" max="24" width="125.57"/>
    <col customWidth="1" min="25" max="26" width="8.71"/>
  </cols>
  <sheetData>
    <row r="2">
      <c r="B2" s="15" t="s">
        <v>113</v>
      </c>
      <c r="C2" s="45" t="s">
        <v>114</v>
      </c>
      <c r="D2" s="46"/>
      <c r="E2" s="46"/>
      <c r="F2" s="46"/>
      <c r="G2" s="47"/>
    </row>
    <row r="3">
      <c r="C3" s="48" t="s">
        <v>115</v>
      </c>
      <c r="D3" s="49"/>
      <c r="E3" s="49"/>
      <c r="F3" s="49"/>
      <c r="G3" s="50"/>
      <c r="X3" s="51" t="s">
        <v>116</v>
      </c>
    </row>
    <row r="4">
      <c r="X4" s="3"/>
    </row>
    <row r="5">
      <c r="C5" s="52" t="s">
        <v>117</v>
      </c>
      <c r="D5" s="52" t="s">
        <v>118</v>
      </c>
      <c r="R5" s="4"/>
      <c r="X5" s="53" t="s">
        <v>119</v>
      </c>
    </row>
    <row r="6">
      <c r="C6" s="52">
        <v>2017.0</v>
      </c>
      <c r="D6" s="54">
        <v>0.05295471987720627</v>
      </c>
      <c r="R6" s="4"/>
      <c r="X6" s="55" t="s">
        <v>120</v>
      </c>
    </row>
    <row r="7">
      <c r="C7" s="52">
        <v>2018.0</v>
      </c>
      <c r="D7" s="54">
        <v>0.023374726077428697</v>
      </c>
      <c r="R7" s="4"/>
      <c r="X7" s="56" t="s">
        <v>121</v>
      </c>
    </row>
    <row r="8">
      <c r="C8" s="52">
        <v>2019.0</v>
      </c>
      <c r="D8" s="54">
        <v>0.07736389684813762</v>
      </c>
      <c r="R8" s="4"/>
      <c r="X8" s="56"/>
    </row>
    <row r="9">
      <c r="C9" s="52">
        <v>2020.0</v>
      </c>
      <c r="D9" s="54">
        <v>0.05792276964047948</v>
      </c>
      <c r="F9" s="6"/>
      <c r="R9" s="4"/>
      <c r="X9" s="53" t="s">
        <v>122</v>
      </c>
    </row>
    <row r="10" ht="13.5" customHeight="1">
      <c r="C10" s="52">
        <v>2021.0</v>
      </c>
      <c r="D10" s="54">
        <v>0.05657978385251098</v>
      </c>
      <c r="R10" s="4"/>
    </row>
    <row r="11">
      <c r="C11" s="52">
        <v>2022.0</v>
      </c>
      <c r="D11" s="54">
        <v>0.06035003017501509</v>
      </c>
      <c r="R11" s="4"/>
      <c r="X11" s="56" t="s">
        <v>123</v>
      </c>
    </row>
    <row r="12">
      <c r="C12" s="52">
        <v>2023.0</v>
      </c>
      <c r="D12" s="54">
        <v>0.014730878186968806</v>
      </c>
      <c r="X12" s="56" t="s">
        <v>124</v>
      </c>
    </row>
    <row r="14">
      <c r="C14" s="57" t="s">
        <v>105</v>
      </c>
      <c r="D14" s="33"/>
      <c r="E14" s="33"/>
      <c r="F14" s="33"/>
      <c r="G14" s="33"/>
      <c r="H14" s="33"/>
      <c r="I14" s="35"/>
      <c r="X14" s="53" t="s">
        <v>125</v>
      </c>
    </row>
    <row r="15">
      <c r="C15" s="58"/>
      <c r="I15" s="39"/>
    </row>
    <row r="16">
      <c r="C16" s="40" t="s">
        <v>126</v>
      </c>
      <c r="I16" s="39"/>
      <c r="X16" s="56" t="s">
        <v>127</v>
      </c>
    </row>
    <row r="17">
      <c r="C17" s="58"/>
      <c r="I17" s="39"/>
    </row>
    <row r="18">
      <c r="C18" s="40" t="s">
        <v>128</v>
      </c>
      <c r="F18" s="4"/>
      <c r="I18" s="39"/>
      <c r="X18" s="53" t="s">
        <v>129</v>
      </c>
    </row>
    <row r="19">
      <c r="C19" s="58"/>
      <c r="F19" s="4"/>
      <c r="I19" s="39"/>
    </row>
    <row r="20">
      <c r="C20" s="40" t="s">
        <v>130</v>
      </c>
      <c r="F20" s="4"/>
      <c r="I20" s="39"/>
      <c r="X20" s="56" t="s">
        <v>131</v>
      </c>
    </row>
    <row r="21" ht="15.75" customHeight="1">
      <c r="C21" s="58"/>
      <c r="F21" s="4"/>
      <c r="I21" s="39"/>
    </row>
    <row r="22" ht="15.75" customHeight="1">
      <c r="C22" s="42" t="s">
        <v>132</v>
      </c>
      <c r="D22" s="43"/>
      <c r="E22" s="43"/>
      <c r="F22" s="59"/>
      <c r="G22" s="43"/>
      <c r="H22" s="43"/>
      <c r="I22" s="44"/>
      <c r="X22" s="53" t="s">
        <v>133</v>
      </c>
    </row>
    <row r="23" ht="15.75" customHeight="1">
      <c r="X23" s="56"/>
    </row>
    <row r="24" ht="15.75" customHeight="1">
      <c r="X24" s="56" t="s">
        <v>134</v>
      </c>
    </row>
    <row r="25" ht="15.75" customHeight="1">
      <c r="C25" s="41" t="s">
        <v>135</v>
      </c>
      <c r="D25" s="60" t="s">
        <v>136</v>
      </c>
    </row>
    <row r="26" ht="15.75" customHeight="1">
      <c r="F26" s="4"/>
    </row>
    <row r="27" ht="15.75" customHeight="1">
      <c r="F27" s="4"/>
    </row>
    <row r="28" ht="15.75" customHeight="1">
      <c r="F28" s="4"/>
    </row>
    <row r="29" ht="15.75" customHeight="1">
      <c r="C29" s="5"/>
      <c r="F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G2"/>
    <mergeCell ref="C3:G3"/>
    <mergeCell ref="C29:D2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.71"/>
    <col customWidth="1" min="3" max="3" width="9.14"/>
    <col customWidth="1" min="4" max="4" width="11.71"/>
    <col customWidth="1" min="5" max="5" width="13.29"/>
    <col customWidth="1" min="6" max="6" width="12.43"/>
    <col customWidth="1" min="7" max="7" width="11.57"/>
    <col customWidth="1" min="8" max="8" width="11.29"/>
    <col customWidth="1" min="9" max="9" width="13.0"/>
    <col customWidth="1" min="10" max="10" width="11.29"/>
    <col customWidth="1" min="11" max="11" width="10.29"/>
    <col customWidth="1" min="12" max="12" width="13.0"/>
    <col customWidth="1" min="13" max="13" width="14.57"/>
    <col customWidth="1" min="14" max="14" width="12.71"/>
    <col customWidth="1" min="15" max="15" width="12.86"/>
    <col customWidth="1" min="16" max="16" width="12.43"/>
    <col customWidth="1" min="17" max="17" width="14.57"/>
    <col customWidth="1" min="18" max="18" width="11.71"/>
    <col customWidth="1" min="19" max="19" width="8.71"/>
    <col customWidth="1" min="20" max="20" width="9.29"/>
    <col customWidth="1" min="21" max="21" width="13.14"/>
    <col customWidth="1" min="22" max="23" width="8.71"/>
    <col customWidth="1" min="24" max="24" width="41.57"/>
    <col customWidth="1" min="25" max="25" width="8.71"/>
    <col customWidth="1" min="26" max="26" width="13.0"/>
    <col customWidth="1" min="27" max="27" width="14.14"/>
    <col customWidth="1" min="28" max="28" width="8.71"/>
    <col customWidth="1" min="29" max="29" width="12.29"/>
    <col customWidth="1" min="30" max="31" width="8.71"/>
  </cols>
  <sheetData>
    <row r="2">
      <c r="L2" s="61" t="s">
        <v>137</v>
      </c>
    </row>
    <row r="3">
      <c r="B3" s="15" t="s">
        <v>113</v>
      </c>
      <c r="X3" s="62" t="s">
        <v>138</v>
      </c>
      <c r="Z3" s="63" t="s">
        <v>139</v>
      </c>
      <c r="AA3" s="64" t="s">
        <v>140</v>
      </c>
      <c r="AB3" s="65" t="s">
        <v>30</v>
      </c>
      <c r="AC3" s="64" t="s">
        <v>33</v>
      </c>
    </row>
    <row r="4">
      <c r="X4" s="66"/>
      <c r="Z4" s="63" t="s">
        <v>39</v>
      </c>
      <c r="AA4" s="67">
        <v>0.01118881118881095</v>
      </c>
      <c r="AB4" s="68">
        <v>0.010220864661654054</v>
      </c>
      <c r="AC4" s="67">
        <v>0.012347096996496738</v>
      </c>
    </row>
    <row r="5">
      <c r="K5" s="63" t="s">
        <v>139</v>
      </c>
      <c r="L5" s="69" t="s">
        <v>34</v>
      </c>
      <c r="M5" s="70" t="s">
        <v>141</v>
      </c>
      <c r="O5" s="71" t="s">
        <v>139</v>
      </c>
      <c r="P5" s="72" t="s">
        <v>30</v>
      </c>
      <c r="Q5" s="73" t="s">
        <v>141</v>
      </c>
      <c r="S5" s="71" t="s">
        <v>139</v>
      </c>
      <c r="T5" s="74" t="s">
        <v>33</v>
      </c>
      <c r="U5" s="70" t="s">
        <v>142</v>
      </c>
      <c r="X5" s="75" t="s">
        <v>143</v>
      </c>
      <c r="Z5" s="63" t="s">
        <v>40</v>
      </c>
      <c r="AA5" s="67">
        <v>0.00144075610880603</v>
      </c>
      <c r="AB5" s="68">
        <v>0.0015118036981043778</v>
      </c>
      <c r="AC5" s="67">
        <v>0.0010778307238484745</v>
      </c>
    </row>
    <row r="6">
      <c r="K6" s="63" t="s">
        <v>39</v>
      </c>
      <c r="L6" s="69">
        <v>1735.1999999999998</v>
      </c>
      <c r="M6" s="67">
        <f>(L6-SUM(Sheet3!LZ4:LZ13) ) / SUM(Sheet3!LZ4:LZ13)</f>
        <v>0.01118881119</v>
      </c>
      <c r="O6" s="71" t="s">
        <v>39</v>
      </c>
      <c r="P6" s="72">
        <v>1719.8</v>
      </c>
      <c r="Q6" s="68">
        <f>(P6-SUM(Sheet3!LX4:LX13))/SUM(Sheet3!LX4:LX13)</f>
        <v>0.01022086466</v>
      </c>
      <c r="S6" s="71" t="s">
        <v>39</v>
      </c>
      <c r="T6" s="74">
        <v>1762.8</v>
      </c>
      <c r="U6" s="67">
        <f>(1762.8-SUM(Sheet3!LY4:LY13) ) / SUM(Sheet3!LY4:LY13)</f>
        <v>0.012347097</v>
      </c>
      <c r="X6" s="76"/>
      <c r="Z6" s="63" t="s">
        <v>144</v>
      </c>
      <c r="AA6" s="67">
        <v>5.7547332681208736E-5</v>
      </c>
      <c r="AB6" s="68">
        <v>4.0640966093825214E-4</v>
      </c>
      <c r="AC6" s="67">
        <v>-4.5333484444958454E-4</v>
      </c>
    </row>
    <row r="7">
      <c r="K7" s="63" t="s">
        <v>40</v>
      </c>
      <c r="L7" s="69">
        <v>1737.7</v>
      </c>
      <c r="M7" s="67">
        <v>0.00144075610880603</v>
      </c>
      <c r="O7" s="71" t="s">
        <v>40</v>
      </c>
      <c r="P7" s="72">
        <v>1722.3999999999999</v>
      </c>
      <c r="Q7" s="68">
        <f t="shared" ref="Q7:Q17" si="1">(P7-P6)/P6</f>
        <v>0.001511803698</v>
      </c>
      <c r="S7" s="71" t="s">
        <v>40</v>
      </c>
      <c r="T7" s="74">
        <v>1764.7</v>
      </c>
      <c r="U7" s="67">
        <f t="shared" ref="U7:U17" si="2">(T7-T6)/T6</f>
        <v>0.001077830724</v>
      </c>
      <c r="X7" s="77" t="s">
        <v>145</v>
      </c>
      <c r="Z7" s="63" t="s">
        <v>146</v>
      </c>
      <c r="AA7" s="67">
        <v>0.0048912417999767204</v>
      </c>
      <c r="AB7" s="68">
        <v>0.005223144332888399</v>
      </c>
      <c r="AC7" s="67">
        <v>0.005215715176597339</v>
      </c>
    </row>
    <row r="8">
      <c r="K8" s="63" t="s">
        <v>144</v>
      </c>
      <c r="L8" s="69">
        <v>1737.8000000000002</v>
      </c>
      <c r="M8" s="67">
        <v>5.7547332681208736E-5</v>
      </c>
      <c r="O8" s="71" t="s">
        <v>144</v>
      </c>
      <c r="P8" s="72">
        <v>1723.1</v>
      </c>
      <c r="Q8" s="68">
        <f t="shared" si="1"/>
        <v>0.0004064096609</v>
      </c>
      <c r="S8" s="71" t="s">
        <v>144</v>
      </c>
      <c r="T8" s="74">
        <v>1763.8999999999999</v>
      </c>
      <c r="U8" s="67">
        <f t="shared" si="2"/>
        <v>-0.0004533348444</v>
      </c>
      <c r="X8" s="76"/>
      <c r="Z8" s="63" t="s">
        <v>147</v>
      </c>
      <c r="AA8" s="67">
        <v>0.007558838687511025</v>
      </c>
      <c r="AB8" s="68">
        <v>0.007851740661624565</v>
      </c>
      <c r="AC8" s="67">
        <v>0.0072189949805427835</v>
      </c>
    </row>
    <row r="9">
      <c r="K9" s="63" t="s">
        <v>146</v>
      </c>
      <c r="L9" s="69">
        <v>1746.2999999999997</v>
      </c>
      <c r="M9" s="67">
        <v>0.0048912417999767204</v>
      </c>
      <c r="O9" s="71" t="s">
        <v>146</v>
      </c>
      <c r="P9" s="72">
        <v>1732.1</v>
      </c>
      <c r="Q9" s="68">
        <f t="shared" si="1"/>
        <v>0.005223144333</v>
      </c>
      <c r="S9" s="71" t="s">
        <v>146</v>
      </c>
      <c r="T9" s="74">
        <v>1773.1</v>
      </c>
      <c r="U9" s="67">
        <f t="shared" si="2"/>
        <v>0.005215715177</v>
      </c>
      <c r="X9" s="77" t="s">
        <v>148</v>
      </c>
      <c r="Z9" s="63" t="s">
        <v>149</v>
      </c>
      <c r="AA9" s="67">
        <v>-5.115089514069597E-4</v>
      </c>
      <c r="AB9" s="68">
        <v>0.0012029558343357445</v>
      </c>
      <c r="AC9" s="67">
        <v>-0.0040875748922114385</v>
      </c>
    </row>
    <row r="10">
      <c r="K10" s="63" t="s">
        <v>147</v>
      </c>
      <c r="L10" s="69">
        <v>1759.5000000000002</v>
      </c>
      <c r="M10" s="67">
        <v>0.007558838687511025</v>
      </c>
      <c r="O10" s="71" t="s">
        <v>147</v>
      </c>
      <c r="P10" s="72">
        <v>1745.6999999999998</v>
      </c>
      <c r="Q10" s="68">
        <f t="shared" si="1"/>
        <v>0.007851740662</v>
      </c>
      <c r="S10" s="71" t="s">
        <v>147</v>
      </c>
      <c r="T10" s="74">
        <v>1785.9000000000003</v>
      </c>
      <c r="U10" s="67">
        <f t="shared" si="2"/>
        <v>0.007218994981</v>
      </c>
      <c r="X10" s="76"/>
      <c r="Z10" s="63" t="s">
        <v>150</v>
      </c>
      <c r="AA10" s="67">
        <v>-0.007051063345843079</v>
      </c>
      <c r="AB10" s="68">
        <v>-0.005492619292825085</v>
      </c>
      <c r="AC10" s="67">
        <v>-0.00983919937029124</v>
      </c>
    </row>
    <row r="11">
      <c r="K11" s="63" t="s">
        <v>149</v>
      </c>
      <c r="L11" s="69">
        <v>1758.5999999999997</v>
      </c>
      <c r="M11" s="67">
        <v>-5.115089514069597E-4</v>
      </c>
      <c r="O11" s="71" t="s">
        <v>149</v>
      </c>
      <c r="P11" s="72">
        <v>1747.7999999999997</v>
      </c>
      <c r="Q11" s="68">
        <f t="shared" si="1"/>
        <v>0.001202955834</v>
      </c>
      <c r="S11" s="71" t="s">
        <v>149</v>
      </c>
      <c r="T11" s="74">
        <v>1778.6</v>
      </c>
      <c r="U11" s="67">
        <f t="shared" si="2"/>
        <v>-0.004087574892</v>
      </c>
      <c r="X11" s="77" t="s">
        <v>151</v>
      </c>
      <c r="Z11" s="63" t="s">
        <v>152</v>
      </c>
      <c r="AA11" s="67">
        <v>0.004123239033329541</v>
      </c>
      <c r="AB11" s="68">
        <v>0.0026464158324704503</v>
      </c>
      <c r="AC11" s="67">
        <v>0.006586792345693111</v>
      </c>
    </row>
    <row r="12">
      <c r="K12" s="63" t="s">
        <v>150</v>
      </c>
      <c r="L12" s="69">
        <v>1746.2</v>
      </c>
      <c r="M12" s="67">
        <v>-0.007051063345843079</v>
      </c>
      <c r="O12" s="71" t="s">
        <v>150</v>
      </c>
      <c r="P12" s="72">
        <v>1738.2</v>
      </c>
      <c r="Q12" s="68">
        <f t="shared" si="1"/>
        <v>-0.005492619293</v>
      </c>
      <c r="S12" s="71" t="s">
        <v>150</v>
      </c>
      <c r="T12" s="74">
        <v>1761.1</v>
      </c>
      <c r="U12" s="67">
        <f t="shared" si="2"/>
        <v>-0.00983919937</v>
      </c>
      <c r="X12" s="78"/>
      <c r="Z12" s="63" t="s">
        <v>153</v>
      </c>
      <c r="AA12" s="67">
        <v>-0.009467320634196495</v>
      </c>
      <c r="AB12" s="68">
        <v>-0.01113151250860702</v>
      </c>
      <c r="AC12" s="67">
        <v>-0.0066001015400238465</v>
      </c>
    </row>
    <row r="13">
      <c r="K13" s="63" t="s">
        <v>152</v>
      </c>
      <c r="L13" s="69">
        <v>1753.4</v>
      </c>
      <c r="M13" s="67">
        <v>0.004123239033329541</v>
      </c>
      <c r="O13" s="71" t="s">
        <v>152</v>
      </c>
      <c r="P13" s="72">
        <v>1742.8000000000002</v>
      </c>
      <c r="Q13" s="68">
        <f t="shared" si="1"/>
        <v>0.002646415832</v>
      </c>
      <c r="S13" s="71" t="s">
        <v>152</v>
      </c>
      <c r="T13" s="74">
        <v>1772.7</v>
      </c>
      <c r="U13" s="67">
        <f t="shared" si="2"/>
        <v>0.006586792346</v>
      </c>
      <c r="X13" s="78"/>
      <c r="Z13" s="63" t="s">
        <v>154</v>
      </c>
      <c r="AA13" s="67">
        <v>5.7577153385484254E-5</v>
      </c>
      <c r="AB13" s="68">
        <v>5.802483462930047E-5</v>
      </c>
      <c r="AC13" s="67">
        <v>5.6785917092638524E-5</v>
      </c>
    </row>
    <row r="14">
      <c r="K14" s="63" t="s">
        <v>153</v>
      </c>
      <c r="L14" s="69">
        <v>1736.8</v>
      </c>
      <c r="M14" s="67">
        <v>-0.009467320634196495</v>
      </c>
      <c r="O14" s="71" t="s">
        <v>153</v>
      </c>
      <c r="P14" s="72">
        <v>1723.3999999999999</v>
      </c>
      <c r="Q14" s="68">
        <f t="shared" si="1"/>
        <v>-0.01113151251</v>
      </c>
      <c r="S14" s="71" t="s">
        <v>153</v>
      </c>
      <c r="T14" s="74">
        <v>1760.9999999999998</v>
      </c>
      <c r="U14" s="67">
        <f t="shared" si="2"/>
        <v>-0.00660010154</v>
      </c>
      <c r="X14" s="78"/>
      <c r="Z14" s="63" t="s">
        <v>155</v>
      </c>
      <c r="AA14" s="67">
        <v>0.004836202429616166</v>
      </c>
      <c r="AB14" s="68">
        <v>0.0037713954163040323</v>
      </c>
      <c r="AC14" s="67">
        <v>0.006813923116234301</v>
      </c>
    </row>
    <row r="15">
      <c r="B15" s="79" t="s">
        <v>105</v>
      </c>
      <c r="C15" s="80"/>
      <c r="D15" s="80"/>
      <c r="E15" s="80"/>
      <c r="F15" s="80"/>
      <c r="G15" s="80"/>
      <c r="H15" s="80"/>
      <c r="I15" s="81"/>
      <c r="K15" s="63" t="s">
        <v>154</v>
      </c>
      <c r="L15" s="69">
        <v>1736.8999999999999</v>
      </c>
      <c r="M15" s="67">
        <v>5.7577153385484254E-5</v>
      </c>
      <c r="O15" s="71" t="s">
        <v>154</v>
      </c>
      <c r="P15" s="72">
        <v>1723.5</v>
      </c>
      <c r="Q15" s="68">
        <f t="shared" si="1"/>
        <v>0.00005802483463</v>
      </c>
      <c r="S15" s="71" t="s">
        <v>154</v>
      </c>
      <c r="T15" s="74">
        <v>1761.1</v>
      </c>
      <c r="U15" s="67">
        <f t="shared" si="2"/>
        <v>0.00005678591709</v>
      </c>
      <c r="X15" s="75" t="s">
        <v>156</v>
      </c>
      <c r="Z15" s="63" t="s">
        <v>157</v>
      </c>
      <c r="AA15" s="67">
        <v>0.00853721423251009</v>
      </c>
      <c r="AB15" s="68">
        <v>0.008150289017341251</v>
      </c>
      <c r="AC15" s="67">
        <v>0.008628954937679744</v>
      </c>
    </row>
    <row r="16">
      <c r="B16" s="82"/>
      <c r="I16" s="83"/>
      <c r="K16" s="63" t="s">
        <v>155</v>
      </c>
      <c r="L16" s="69">
        <v>1745.3000000000002</v>
      </c>
      <c r="M16" s="67">
        <v>0.004836202429616166</v>
      </c>
      <c r="O16" s="71" t="s">
        <v>155</v>
      </c>
      <c r="P16" s="72">
        <v>1730.0</v>
      </c>
      <c r="Q16" s="68">
        <f t="shared" si="1"/>
        <v>0.003771395416</v>
      </c>
      <c r="S16" s="71" t="s">
        <v>155</v>
      </c>
      <c r="T16" s="74">
        <v>1773.1000000000001</v>
      </c>
      <c r="U16" s="67">
        <f t="shared" si="2"/>
        <v>0.006813923116</v>
      </c>
      <c r="X16" s="76"/>
    </row>
    <row r="17">
      <c r="B17" s="82" t="s">
        <v>158</v>
      </c>
      <c r="E17" s="6"/>
      <c r="I17" s="83"/>
      <c r="K17" s="63" t="s">
        <v>157</v>
      </c>
      <c r="L17" s="69">
        <v>1760.2</v>
      </c>
      <c r="M17" s="67">
        <v>0.00853721423251009</v>
      </c>
      <c r="O17" s="71" t="s">
        <v>157</v>
      </c>
      <c r="P17" s="72">
        <v>1744.1000000000004</v>
      </c>
      <c r="Q17" s="68">
        <f t="shared" si="1"/>
        <v>0.008150289017</v>
      </c>
      <c r="S17" s="71" t="s">
        <v>157</v>
      </c>
      <c r="T17" s="74">
        <v>1788.4</v>
      </c>
      <c r="U17" s="67">
        <f t="shared" si="2"/>
        <v>0.008628954938</v>
      </c>
      <c r="X17" s="77" t="s">
        <v>159</v>
      </c>
    </row>
    <row r="18">
      <c r="B18" s="82"/>
      <c r="I18" s="83"/>
      <c r="X18" s="76"/>
    </row>
    <row r="19">
      <c r="B19" s="82" t="s">
        <v>160</v>
      </c>
      <c r="I19" s="83"/>
      <c r="X19" s="77" t="s">
        <v>161</v>
      </c>
    </row>
    <row r="20">
      <c r="B20" s="82" t="s">
        <v>162</v>
      </c>
      <c r="I20" s="84"/>
      <c r="K20" s="85"/>
      <c r="X20" s="76"/>
    </row>
    <row r="21" ht="15.75" customHeight="1">
      <c r="B21" s="82"/>
      <c r="I21" s="83"/>
      <c r="K21" s="86" t="s">
        <v>56</v>
      </c>
      <c r="L21" s="87"/>
      <c r="M21" s="72" t="s">
        <v>30</v>
      </c>
      <c r="N21" s="88" t="s">
        <v>33</v>
      </c>
      <c r="O21" s="89" t="s">
        <v>163</v>
      </c>
      <c r="X21" s="77" t="s">
        <v>164</v>
      </c>
    </row>
    <row r="22" ht="15.75" customHeight="1">
      <c r="B22" s="82" t="s">
        <v>165</v>
      </c>
      <c r="I22" s="83"/>
      <c r="K22" s="90" t="s">
        <v>60</v>
      </c>
      <c r="L22" s="91"/>
      <c r="M22" s="92">
        <f>(Sheet3!NH4-Sheet3!MA4)/Sheet3!MA4</f>
        <v>0.1261378414</v>
      </c>
      <c r="N22" s="93">
        <f>(Sheet3!NI4-Sheet3!MB4)/Sheet3!MB4</f>
        <v>0.1092063492</v>
      </c>
      <c r="O22" s="94">
        <f>(Sheet3!NJ4-Sheet3!MC4)/Sheet3!MC4</f>
        <v>0.1206451613</v>
      </c>
      <c r="X22" s="78"/>
    </row>
    <row r="23" ht="15.75" customHeight="1">
      <c r="B23" s="82"/>
      <c r="I23" s="83"/>
      <c r="K23" s="90" t="s">
        <v>61</v>
      </c>
      <c r="L23" s="91"/>
      <c r="M23" s="92">
        <f>(Sheet3!NH5-Sheet3!MA5)/Sheet3!MA5</f>
        <v>-0.02624309392</v>
      </c>
      <c r="N23" s="93">
        <f>(Sheet3!NI5-Sheet3!MB5)/Sheet3!MB5</f>
        <v>-0.01790510295</v>
      </c>
      <c r="O23" s="94">
        <f>(Sheet3!NJ5-Sheet3!MC5)/Sheet3!MC5</f>
        <v>-0.02324521422</v>
      </c>
      <c r="X23" s="78"/>
    </row>
    <row r="24" ht="15.75" customHeight="1">
      <c r="B24" s="82"/>
      <c r="I24" s="83"/>
      <c r="K24" s="90" t="s">
        <v>5</v>
      </c>
      <c r="L24" s="91"/>
      <c r="M24" s="92">
        <f>(Sheet3!NH6-Sheet3!MA6)/Sheet3!MA6</f>
        <v>0.008254716981</v>
      </c>
      <c r="N24" s="93">
        <f>(Sheet3!NI6-Sheet3!MB6)/Sheet3!MB6</f>
        <v>0.02256944444</v>
      </c>
      <c r="O24" s="94">
        <f>(Sheet3!NJ6-Sheet3!MC6)/Sheet3!MC6</f>
        <v>0.01405152225</v>
      </c>
      <c r="X24" s="78"/>
    </row>
    <row r="25" ht="15.75" customHeight="1">
      <c r="B25" s="82"/>
      <c r="I25" s="83"/>
      <c r="K25" s="90" t="s">
        <v>63</v>
      </c>
      <c r="L25" s="91"/>
      <c r="M25" s="92">
        <f>(Sheet3!NH7-Sheet3!MA7)/Sheet3!MA7</f>
        <v>0.08585247884</v>
      </c>
      <c r="N25" s="93">
        <f>(Sheet3!NI7-Sheet3!MB7)/Sheet3!MB7</f>
        <v>0.078125</v>
      </c>
      <c r="O25" s="94">
        <f>(Sheet3!NJ7-Sheet3!MC7)/Sheet3!MC7</f>
        <v>0.08262967431</v>
      </c>
      <c r="X25" s="75" t="s">
        <v>166</v>
      </c>
    </row>
    <row r="26" ht="15.75" customHeight="1">
      <c r="B26" s="82"/>
      <c r="I26" s="83"/>
      <c r="K26" s="90" t="s">
        <v>66</v>
      </c>
      <c r="L26" s="91"/>
      <c r="M26" s="92">
        <f>(Sheet3!NH8-Sheet3!MA8)/Sheet3!MA8</f>
        <v>-0.1672272946</v>
      </c>
      <c r="N26" s="93">
        <f>(Sheet3!NI8-Sheet3!MB8)/Sheet3!MB8</f>
        <v>-0.1283138918</v>
      </c>
      <c r="O26" s="94">
        <f>(Sheet3!NJ8-Sheet3!MC8)/Sheet3!MC8</f>
        <v>-0.1538078646</v>
      </c>
      <c r="X26" s="76"/>
    </row>
    <row r="27" ht="15.75" customHeight="1">
      <c r="B27" s="82"/>
      <c r="I27" s="83"/>
      <c r="K27" s="90" t="s">
        <v>8</v>
      </c>
      <c r="L27" s="91"/>
      <c r="M27" s="92">
        <f>(Sheet3!NH9-Sheet3!MA9)/Sheet3!MA9</f>
        <v>0.01930036188</v>
      </c>
      <c r="N27" s="93">
        <f>(Sheet3!NI9-Sheet3!MB9)/Sheet3!MB9</f>
        <v>0.009764503159</v>
      </c>
      <c r="O27" s="94">
        <f>(Sheet3!NJ9-Sheet3!MC9)/Sheet3!MC9</f>
        <v>0.01473187979</v>
      </c>
      <c r="X27" s="77" t="s">
        <v>167</v>
      </c>
    </row>
    <row r="28" ht="15.75" customHeight="1">
      <c r="B28" s="82"/>
      <c r="I28" s="83"/>
      <c r="K28" s="90" t="s">
        <v>9</v>
      </c>
      <c r="L28" s="91"/>
      <c r="M28" s="92">
        <f>(Sheet3!NH10-Sheet3!MA10)/Sheet3!MA10</f>
        <v>-0.1111775254</v>
      </c>
      <c r="N28" s="93">
        <f>(Sheet3!NI10-Sheet3!MB10)/Sheet3!MB10</f>
        <v>-0.1252955083</v>
      </c>
      <c r="O28" s="94">
        <f>(Sheet3!NJ10-Sheet3!MC10)/Sheet3!MC10</f>
        <v>-0.116840373</v>
      </c>
      <c r="X28" s="76"/>
    </row>
    <row r="29" ht="15.75" customHeight="1">
      <c r="B29" s="82" t="s">
        <v>168</v>
      </c>
      <c r="I29" s="83"/>
      <c r="K29" s="90" t="s">
        <v>73</v>
      </c>
      <c r="L29" s="91"/>
      <c r="M29" s="92">
        <f>(Sheet3!NH11-Sheet3!MA11)/Sheet3!MA11</f>
        <v>0.06257594168</v>
      </c>
      <c r="N29" s="93">
        <f>(Sheet3!NI11-Sheet3!MB11)/Sheet3!MB11</f>
        <v>0.08129584352</v>
      </c>
      <c r="O29" s="94">
        <f>(Sheet3!NJ11-Sheet3!MC11)/Sheet3!MC11</f>
        <v>0.06877662812</v>
      </c>
      <c r="X29" s="77" t="s">
        <v>169</v>
      </c>
    </row>
    <row r="30" ht="15.75" customHeight="1">
      <c r="B30" s="82"/>
      <c r="I30" s="83"/>
      <c r="K30" s="90" t="s">
        <v>76</v>
      </c>
      <c r="L30" s="91"/>
      <c r="M30" s="92">
        <f>(Sheet3!NH12-Sheet3!MA12)/Sheet3!MA12</f>
        <v>0.02350965575</v>
      </c>
      <c r="N30" s="93">
        <f>(Sheet3!NI12-Sheet3!MB12)/Sheet3!MB12</f>
        <v>0.02306425041</v>
      </c>
      <c r="O30" s="94">
        <f>(Sheet3!NJ12-Sheet3!MC12)/Sheet3!MC12</f>
        <v>0.02335279399</v>
      </c>
      <c r="X30" s="76"/>
    </row>
    <row r="31" ht="15.75" customHeight="1">
      <c r="B31" s="95" t="s">
        <v>170</v>
      </c>
      <c r="C31" s="96"/>
      <c r="D31" s="96"/>
      <c r="E31" s="96"/>
      <c r="F31" s="96"/>
      <c r="G31" s="96"/>
      <c r="H31" s="96"/>
      <c r="I31" s="97"/>
      <c r="K31" s="90" t="s">
        <v>12</v>
      </c>
      <c r="L31" s="91"/>
      <c r="M31" s="92">
        <f>(Sheet3!NH13-Sheet3!MA13)/Sheet3!MA13</f>
        <v>0.1699311805</v>
      </c>
      <c r="N31" s="93">
        <f>(Sheet3!NI13-Sheet3!MB13)/Sheet3!MB13</f>
        <v>0.1547683924</v>
      </c>
      <c r="O31" s="94">
        <f>(Sheet3!NJ13-Sheet3!MC13)/Sheet3!MC13</f>
        <v>0.165152325</v>
      </c>
      <c r="X31" s="98" t="s">
        <v>171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K28:L28"/>
    <mergeCell ref="K29:L29"/>
    <mergeCell ref="K30:L30"/>
    <mergeCell ref="K31:L31"/>
    <mergeCell ref="L2:U3"/>
    <mergeCell ref="K22:L22"/>
    <mergeCell ref="K23:L23"/>
    <mergeCell ref="K24:L24"/>
    <mergeCell ref="K25:L25"/>
    <mergeCell ref="K26:L26"/>
    <mergeCell ref="K27:L2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14"/>
    <col customWidth="1" min="4" max="4" width="16.0"/>
    <col customWidth="1" min="5" max="5" width="12.71"/>
    <col customWidth="1" min="6" max="6" width="13.29"/>
    <col customWidth="1" min="7" max="7" width="12.14"/>
    <col customWidth="1" min="8" max="21" width="8.71"/>
    <col customWidth="1" min="22" max="22" width="17.43"/>
    <col customWidth="1" min="23" max="23" width="17.71"/>
    <col customWidth="1" min="24" max="24" width="21.0"/>
    <col customWidth="1" min="25" max="26" width="8.71"/>
  </cols>
  <sheetData>
    <row r="3">
      <c r="B3" s="2" t="s">
        <v>113</v>
      </c>
    </row>
    <row r="5" ht="21.0" customHeight="1"/>
    <row r="7">
      <c r="V7" s="99" t="s">
        <v>105</v>
      </c>
      <c r="W7" s="33"/>
      <c r="X7" s="35"/>
    </row>
    <row r="8">
      <c r="V8" s="58" t="s">
        <v>172</v>
      </c>
      <c r="X8" s="37"/>
    </row>
    <row r="9">
      <c r="V9" s="58" t="s">
        <v>173</v>
      </c>
      <c r="X9" s="37"/>
    </row>
    <row r="10">
      <c r="V10" s="58"/>
      <c r="X10" s="39"/>
    </row>
    <row r="11">
      <c r="V11" s="58" t="s">
        <v>174</v>
      </c>
      <c r="X11" s="37"/>
    </row>
    <row r="12">
      <c r="V12" s="58" t="s">
        <v>175</v>
      </c>
      <c r="X12" s="37"/>
    </row>
    <row r="13">
      <c r="C13" s="100" t="s">
        <v>176</v>
      </c>
      <c r="D13" s="101" t="s">
        <v>177</v>
      </c>
      <c r="E13" s="101" t="s">
        <v>59</v>
      </c>
      <c r="F13" s="101" t="s">
        <v>178</v>
      </c>
      <c r="G13" s="101" t="s">
        <v>95</v>
      </c>
      <c r="V13" s="58"/>
      <c r="X13" s="39"/>
    </row>
    <row r="14">
      <c r="C14" s="102"/>
      <c r="D14" s="101" t="s">
        <v>179</v>
      </c>
      <c r="E14" s="103">
        <f>(AVERAGE(Sheet3!GF4:GF13)-AVERAGE(Sheet3!EY4:EY13))/AVERAGE(Sheet3!EY4:EY13)</f>
        <v>0.02282062985</v>
      </c>
      <c r="F14" s="103">
        <f>(AVERAGE(Sheet3!GF22:GF23,Sheet3!GF29)-AVERAGE(Sheet3!EY23,Sheet3!EY24,Sheet3!EY29))  / AVERAGE(Sheet3!EY23,Sheet3!EY24,Sheet3!EY29)</f>
        <v>0.04830287206</v>
      </c>
      <c r="G14" s="103">
        <f>(AVERAGE(Sheet3!GF25:GF27,Sheet3!GF29) - AVERAGE(Sheet3!EY29,Sheet3!EY25:EY27) )/ AVERAGE(Sheet3!EY29,Sheet3!EY25:EY27)</f>
        <v>0.03429710867</v>
      </c>
      <c r="V14" s="58" t="s">
        <v>180</v>
      </c>
      <c r="X14" s="37"/>
    </row>
    <row r="15">
      <c r="C15" s="102"/>
      <c r="D15" s="101" t="s">
        <v>181</v>
      </c>
      <c r="E15" s="103">
        <f>(AVERAGE(Sheet3!HP4:HP13)-AVERAGE(Sheet3!GI4:GI13)) / AVERAGE(Sheet3!GI4:GI13)</f>
        <v>-0.006122601359</v>
      </c>
      <c r="F15" s="103">
        <f>(AVERAGE(Sheet3!HP23,Sheet3!HP24,Sheet3!HP29)-AVERAGE(Sheet3!GI23,Sheet3!GI24,Sheet3!GI29)) / AVERAGE(Sheet3!GI23,Sheet3!GI24,Sheet3!GI29)</f>
        <v>0.06621689155</v>
      </c>
      <c r="G15" s="103">
        <f>(AVERAGE(Sheet3!HP29,Sheet3!HP27,Sheet3!HP26,Sheet3!HP25) - AVERAGE(Sheet3!GI29,Sheet3!GI27,Sheet3!GI26,Sheet3!GI25)) / AVERAGE(Sheet3!GI29,Sheet3!GI27,Sheet3!GI26,Sheet3!GI25)</f>
        <v>0.05215723873</v>
      </c>
      <c r="V15" s="58" t="s">
        <v>182</v>
      </c>
      <c r="X15" s="37"/>
    </row>
    <row r="16">
      <c r="C16" s="17"/>
      <c r="D16" s="101" t="s">
        <v>183</v>
      </c>
      <c r="E16" s="103">
        <f>(AVERAGE(Sheet3!IW4:IW13)-AVERAGE(Sheet3!HS4:HS13)) /AVERAGE(Sheet3!HS4:HS13)</f>
        <v>0.09701324949</v>
      </c>
      <c r="F16" s="103">
        <f>(AVERAGE(Sheet3!IW23,Sheet3!IW24,Sheet3!IW29) - AVERAGE(Sheet3!HS23,Sheet3!HS24,Sheet3!HS29) ) / AVERAGE(Sheet3!HS23,Sheet3!HS24,Sheet3!HS29)</f>
        <v>0.03273322422</v>
      </c>
      <c r="G16" s="103">
        <f>(AVERAGE(Sheet3!IW29,Sheet3!IW27,Sheet3!IW26,Sheet3!IW25) - AVERAGE(Sheet3!HS29,Sheet3!HS27,Sheet3!HS26,Sheet3!HS25) ) / AVERAGE(Sheet3!HS29,Sheet3!HS27,Sheet3!HS26,Sheet3!HS25)</f>
        <v>0.04179538434</v>
      </c>
      <c r="V16" s="58"/>
      <c r="X16" s="39"/>
    </row>
    <row r="17">
      <c r="V17" s="104" t="s">
        <v>184</v>
      </c>
      <c r="X17" s="37"/>
    </row>
    <row r="18">
      <c r="V18" s="104" t="s">
        <v>185</v>
      </c>
      <c r="X18" s="37"/>
    </row>
    <row r="19">
      <c r="V19" s="58"/>
      <c r="X19" s="39"/>
    </row>
    <row r="20">
      <c r="V20" s="58"/>
      <c r="X20" s="39"/>
    </row>
    <row r="21" ht="15.75" customHeight="1">
      <c r="C21" s="105" t="s">
        <v>186</v>
      </c>
      <c r="D21" s="101" t="s">
        <v>187</v>
      </c>
      <c r="E21" s="101" t="s">
        <v>59</v>
      </c>
      <c r="F21" s="101" t="s">
        <v>178</v>
      </c>
      <c r="G21" s="101" t="s">
        <v>95</v>
      </c>
      <c r="V21" s="58"/>
      <c r="X21" s="39"/>
    </row>
    <row r="22" ht="15.75" customHeight="1">
      <c r="C22" s="102"/>
      <c r="D22" s="101" t="s">
        <v>188</v>
      </c>
      <c r="E22" s="103">
        <f>(AVERAGE(Sheet3!KJ4:KJ13)-AVERAGE(Sheet3!JC4,Sheet3!JC6:JC13)) / AVERAGE(Sheet3!JC4,Sheet3!JC6:JC13)</f>
        <v>0.05073061072</v>
      </c>
      <c r="F22" s="103">
        <f>(AVERAGE(Sheet3!KJ23:KJ24,Sheet3!KJ28) - AVERAGE(Sheet3!JC23:JC24,Sheet3!JC28) ) /  AVERAGE(Sheet3!JC23:JC24,Sheet3!JC28)</f>
        <v>0.03229374032</v>
      </c>
      <c r="G22" s="106" t="s">
        <v>48</v>
      </c>
      <c r="V22" s="58"/>
      <c r="X22" s="39"/>
    </row>
    <row r="23" ht="15.75" customHeight="1">
      <c r="C23" s="102"/>
      <c r="D23" s="101" t="s">
        <v>189</v>
      </c>
      <c r="E23" s="103">
        <f>(AVERAGE(Sheet3!LT4:LT13) - AVERAGE(Sheet3!KM4:KM13)) / AVERAGE(Sheet3!KM4:KM13)</f>
        <v>0.0579893644</v>
      </c>
      <c r="F23" s="103">
        <f>(AVERAGE(Sheet3!LT23,Sheet3!LT24,Sheet3!LT28) - AVERAGE(Sheet3!KM23,Sheet3!KM24,Sheet3!KM28)) / AVERAGE(Sheet3!KM23,Sheet3!KM24,Sheet3!KM28)</f>
        <v>0.07135250266</v>
      </c>
      <c r="G23" s="103">
        <f>(AVERAGE(Sheet3!LT25:LT27,Sheet3!LT29)- AVERAGE(Sheet3!KM25:KM27,Sheet3!KM29) )/ AVERAGE(Sheet3!KM25:KM27,Sheet3!KM29)</f>
        <v>0.0606997559</v>
      </c>
      <c r="V23" s="107"/>
      <c r="W23" s="43"/>
      <c r="X23" s="44"/>
    </row>
    <row r="24" ht="15.75" customHeight="1">
      <c r="C24" s="108"/>
      <c r="D24" s="101" t="s">
        <v>190</v>
      </c>
      <c r="E24" s="103">
        <f>(AVERAGE(Sheet3!ND4:ND13) - AVERAGE(Sheet3!LW4:LW13)) / AVERAGE(Sheet3!LW4:LW13)</f>
        <v>0.0238740863</v>
      </c>
      <c r="F24" s="103">
        <f>(AVERAGE(Sheet3!ND23,Sheet3!ND24,Sheet3!ND28)-AVERAGE(Sheet3!LV23,Sheet3!LV24,Sheet3!LV28)) / AVERAGE(Sheet3!LV23,Sheet3!LV24,Sheet3!LV28)</f>
        <v>0.0852775543</v>
      </c>
      <c r="G24" s="103">
        <f>(AVERAGE(Sheet3!ND25:ND27,Sheet3!ND29)-AVERAGE(Sheet3!LW25,Sheet3!LW26,Sheet3!LW27,Sheet3!LW29) )/ AVERAGE(Sheet3!LW25,Sheet3!LW26,Sheet3!LW27,Sheet3!LW29)</f>
        <v>0.03466020887</v>
      </c>
    </row>
    <row r="25" ht="15.75" customHeight="1"/>
    <row r="26" ht="15.75" customHeight="1"/>
    <row r="27" ht="15.75" customHeight="1"/>
    <row r="28" ht="15.75" customHeight="1">
      <c r="B28" s="2" t="s">
        <v>191</v>
      </c>
      <c r="C28" s="60" t="s">
        <v>192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ht="15.75" customHeight="1">
      <c r="C29" s="60" t="s">
        <v>193</v>
      </c>
    </row>
    <row r="30" ht="15.75" customHeight="1">
      <c r="C30" s="60" t="s">
        <v>194</v>
      </c>
    </row>
    <row r="31" ht="15.75" customHeight="1">
      <c r="C31" s="60" t="s">
        <v>195</v>
      </c>
      <c r="D31" s="60"/>
      <c r="E31" s="6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V17:X17"/>
    <mergeCell ref="V18:X18"/>
    <mergeCell ref="C21:C24"/>
    <mergeCell ref="C29:P29"/>
    <mergeCell ref="C30:P30"/>
    <mergeCell ref="V8:X8"/>
    <mergeCell ref="V9:X9"/>
    <mergeCell ref="V11:X11"/>
    <mergeCell ref="V12:X12"/>
    <mergeCell ref="C13:C16"/>
    <mergeCell ref="V14:X14"/>
    <mergeCell ref="V15:X1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6.14"/>
    <col customWidth="1" min="9" max="9" width="7.14"/>
    <col customWidth="1" min="10" max="10" width="7.29"/>
    <col customWidth="1" min="11" max="11" width="7.43"/>
    <col customWidth="1" min="12" max="13" width="7.14"/>
    <col customWidth="1" min="14" max="14" width="7.43"/>
    <col customWidth="1" min="15" max="16" width="7.57"/>
    <col customWidth="1" min="17" max="17" width="8.71"/>
    <col customWidth="1" min="18" max="18" width="7.43"/>
    <col customWidth="1" min="19" max="19" width="6.14"/>
    <col customWidth="1" min="20" max="20" width="7.86"/>
    <col customWidth="1" min="21" max="21" width="9.0"/>
    <col customWidth="1" min="22" max="22" width="7.0"/>
    <col customWidth="1" min="23" max="23" width="7.71"/>
    <col customWidth="1" min="24" max="24" width="8.71"/>
    <col customWidth="1" min="25" max="25" width="7.0"/>
    <col customWidth="1" min="26" max="26" width="7.86"/>
    <col customWidth="1" min="27" max="30" width="8.71"/>
    <col customWidth="1" min="31" max="31" width="7.86"/>
    <col customWidth="1" min="32" max="32" width="6.0"/>
    <col customWidth="1" min="33" max="41" width="8.71"/>
  </cols>
  <sheetData>
    <row r="2">
      <c r="N2" s="109" t="s">
        <v>196</v>
      </c>
    </row>
    <row r="4">
      <c r="C4" s="110" t="s">
        <v>197</v>
      </c>
      <c r="D4" s="111" t="s">
        <v>198</v>
      </c>
      <c r="E4" s="112" t="s">
        <v>199</v>
      </c>
      <c r="F4" s="113" t="s">
        <v>60</v>
      </c>
      <c r="G4" s="11" t="s">
        <v>61</v>
      </c>
      <c r="H4" s="11" t="s">
        <v>5</v>
      </c>
      <c r="I4" s="11" t="s">
        <v>63</v>
      </c>
      <c r="J4" s="11" t="s">
        <v>66</v>
      </c>
      <c r="K4" s="11" t="s">
        <v>8</v>
      </c>
      <c r="L4" s="11" t="s">
        <v>9</v>
      </c>
      <c r="M4" s="11" t="s">
        <v>73</v>
      </c>
      <c r="N4" s="11" t="s">
        <v>76</v>
      </c>
      <c r="O4" s="11" t="s">
        <v>12</v>
      </c>
      <c r="P4" s="11" t="s">
        <v>77</v>
      </c>
      <c r="Q4" s="11" t="s">
        <v>78</v>
      </c>
      <c r="R4" s="11" t="s">
        <v>79</v>
      </c>
      <c r="S4" s="11" t="s">
        <v>80</v>
      </c>
      <c r="T4" s="11" t="s">
        <v>17</v>
      </c>
      <c r="U4" s="11" t="s">
        <v>18</v>
      </c>
      <c r="V4" s="11" t="s">
        <v>82</v>
      </c>
      <c r="W4" s="11" t="s">
        <v>20</v>
      </c>
      <c r="X4" s="11" t="s">
        <v>83</v>
      </c>
      <c r="Y4" s="11" t="s">
        <v>84</v>
      </c>
      <c r="Z4" s="11" t="s">
        <v>23</v>
      </c>
      <c r="AA4" s="11" t="s">
        <v>85</v>
      </c>
      <c r="AB4" s="11" t="s">
        <v>87</v>
      </c>
      <c r="AC4" s="11" t="s">
        <v>26</v>
      </c>
      <c r="AD4" s="11" t="s">
        <v>88</v>
      </c>
      <c r="AE4" s="11" t="s">
        <v>89</v>
      </c>
    </row>
    <row r="5">
      <c r="C5" s="114">
        <v>2021.0</v>
      </c>
      <c r="D5" s="115" t="s">
        <v>200</v>
      </c>
      <c r="E5" s="116">
        <v>54.794569624999994</v>
      </c>
      <c r="F5" s="117">
        <v>144.9</v>
      </c>
      <c r="G5" s="118">
        <v>190.1</v>
      </c>
      <c r="H5" s="118">
        <v>175.3</v>
      </c>
      <c r="I5" s="118">
        <v>154.1</v>
      </c>
      <c r="J5" s="118">
        <v>150.9</v>
      </c>
      <c r="K5" s="118">
        <v>149.6</v>
      </c>
      <c r="L5" s="118">
        <v>194.2</v>
      </c>
      <c r="M5" s="118">
        <v>160.4</v>
      </c>
      <c r="N5" s="118">
        <v>114.6</v>
      </c>
      <c r="O5" s="118">
        <v>164.0</v>
      </c>
      <c r="P5" s="118">
        <v>151.8</v>
      </c>
      <c r="Q5" s="118">
        <v>165.6</v>
      </c>
      <c r="R5" s="118">
        <v>161.0</v>
      </c>
      <c r="S5" s="118">
        <v>186.5</v>
      </c>
      <c r="T5" s="118">
        <v>155.5</v>
      </c>
      <c r="U5" s="118">
        <v>146.1</v>
      </c>
      <c r="V5" s="118">
        <v>154.2</v>
      </c>
      <c r="W5" s="118">
        <v>157.7</v>
      </c>
      <c r="X5" s="118">
        <v>147.9</v>
      </c>
      <c r="Y5" s="118">
        <v>150.0</v>
      </c>
      <c r="Z5" s="118">
        <v>159.3</v>
      </c>
      <c r="AA5" s="118">
        <v>141.9</v>
      </c>
      <c r="AB5" s="118">
        <v>149.6</v>
      </c>
      <c r="AC5" s="118">
        <v>159.2</v>
      </c>
      <c r="AD5" s="118">
        <v>156.8</v>
      </c>
      <c r="AE5" s="118">
        <v>151.9</v>
      </c>
    </row>
    <row r="6">
      <c r="C6" s="114">
        <v>2021.0</v>
      </c>
      <c r="D6" s="115" t="s">
        <v>201</v>
      </c>
      <c r="E6" s="116">
        <v>61.21611728947367</v>
      </c>
      <c r="F6" s="117">
        <v>144.3</v>
      </c>
      <c r="G6" s="118">
        <v>186.5</v>
      </c>
      <c r="H6" s="118">
        <v>168.7</v>
      </c>
      <c r="I6" s="118">
        <v>154.7</v>
      </c>
      <c r="J6" s="118">
        <v>158.7</v>
      </c>
      <c r="K6" s="118">
        <v>150.7</v>
      </c>
      <c r="L6" s="118">
        <v>160.0</v>
      </c>
      <c r="M6" s="118">
        <v>158.8</v>
      </c>
      <c r="N6" s="118">
        <v>112.8</v>
      </c>
      <c r="O6" s="118">
        <v>164.2</v>
      </c>
      <c r="P6" s="118">
        <v>155.5</v>
      </c>
      <c r="Q6" s="118">
        <v>167.5</v>
      </c>
      <c r="R6" s="118">
        <v>156.9</v>
      </c>
      <c r="S6" s="118">
        <v>188.3</v>
      </c>
      <c r="T6" s="118">
        <v>157.2</v>
      </c>
      <c r="U6" s="118">
        <v>147.4</v>
      </c>
      <c r="V6" s="118">
        <v>155.8</v>
      </c>
      <c r="W6" s="118">
        <v>159.8</v>
      </c>
      <c r="X6" s="118">
        <v>152.4</v>
      </c>
      <c r="Y6" s="118">
        <v>150.9</v>
      </c>
      <c r="Z6" s="118">
        <v>161.3</v>
      </c>
      <c r="AA6" s="118">
        <v>145.1</v>
      </c>
      <c r="AB6" s="118">
        <v>151.5</v>
      </c>
      <c r="AC6" s="118">
        <v>159.5</v>
      </c>
      <c r="AD6" s="118">
        <v>155.8</v>
      </c>
      <c r="AE6" s="118">
        <v>153.4</v>
      </c>
    </row>
    <row r="7">
      <c r="C7" s="114">
        <v>2021.0</v>
      </c>
      <c r="D7" s="115" t="s">
        <v>202</v>
      </c>
      <c r="E7" s="116">
        <v>64.72949678260866</v>
      </c>
      <c r="F7" s="117">
        <v>144.1</v>
      </c>
      <c r="G7" s="118">
        <v>192.2</v>
      </c>
      <c r="H7" s="118">
        <v>163.8</v>
      </c>
      <c r="I7" s="118">
        <v>154.9</v>
      </c>
      <c r="J7" s="118">
        <v>163.9</v>
      </c>
      <c r="K7" s="118">
        <v>153.7</v>
      </c>
      <c r="L7" s="118">
        <v>149.5</v>
      </c>
      <c r="M7" s="118">
        <v>159.8</v>
      </c>
      <c r="N7" s="118">
        <v>112.6</v>
      </c>
      <c r="O7" s="118">
        <v>163.5</v>
      </c>
      <c r="P7" s="118">
        <v>156.5</v>
      </c>
      <c r="Q7" s="118">
        <v>168.2</v>
      </c>
      <c r="R7" s="118">
        <v>156.7</v>
      </c>
      <c r="S7" s="118">
        <v>188.1</v>
      </c>
      <c r="T7" s="118">
        <v>157.8</v>
      </c>
      <c r="U7" s="118">
        <v>147.9</v>
      </c>
      <c r="V7" s="118">
        <v>156.4</v>
      </c>
      <c r="W7" s="118">
        <v>159.9</v>
      </c>
      <c r="X7" s="118">
        <v>155.5</v>
      </c>
      <c r="Y7" s="118">
        <v>151.2</v>
      </c>
      <c r="Z7" s="118">
        <v>161.7</v>
      </c>
      <c r="AA7" s="118">
        <v>146.2</v>
      </c>
      <c r="AB7" s="118">
        <v>152.6</v>
      </c>
      <c r="AC7" s="118">
        <v>160.2</v>
      </c>
      <c r="AD7" s="118">
        <v>153.8</v>
      </c>
      <c r="AE7" s="118">
        <v>153.8</v>
      </c>
      <c r="AH7" s="32" t="s">
        <v>105</v>
      </c>
      <c r="AI7" s="33"/>
      <c r="AJ7" s="33"/>
      <c r="AK7" s="33"/>
      <c r="AL7" s="33"/>
      <c r="AM7" s="33"/>
      <c r="AN7" s="33"/>
      <c r="AO7" s="35"/>
    </row>
    <row r="8">
      <c r="C8" s="114">
        <v>2021.0</v>
      </c>
      <c r="D8" s="115" t="s">
        <v>203</v>
      </c>
      <c r="E8" s="116">
        <v>63.39697650000001</v>
      </c>
      <c r="F8" s="117">
        <v>144.3</v>
      </c>
      <c r="G8" s="118">
        <v>198.0</v>
      </c>
      <c r="H8" s="118">
        <v>164.6</v>
      </c>
      <c r="I8" s="118">
        <v>155.4</v>
      </c>
      <c r="J8" s="118">
        <v>170.1</v>
      </c>
      <c r="K8" s="118">
        <v>164.4</v>
      </c>
      <c r="L8" s="118">
        <v>144.1</v>
      </c>
      <c r="M8" s="118">
        <v>161.7</v>
      </c>
      <c r="N8" s="118">
        <v>113.1</v>
      </c>
      <c r="O8" s="118">
        <v>163.9</v>
      </c>
      <c r="P8" s="118">
        <v>157.6</v>
      </c>
      <c r="Q8" s="118">
        <v>168.9</v>
      </c>
      <c r="R8" s="118">
        <v>158.0</v>
      </c>
      <c r="S8" s="118">
        <v>188.8</v>
      </c>
      <c r="T8" s="118">
        <v>158.8</v>
      </c>
      <c r="U8" s="118">
        <v>148.5</v>
      </c>
      <c r="V8" s="118">
        <v>157.3</v>
      </c>
      <c r="W8" s="118">
        <v>161.4</v>
      </c>
      <c r="X8" s="118">
        <v>155.6</v>
      </c>
      <c r="Y8" s="118">
        <v>151.8</v>
      </c>
      <c r="Z8" s="118">
        <v>162.3</v>
      </c>
      <c r="AA8" s="118">
        <v>146.6</v>
      </c>
      <c r="AB8" s="118">
        <v>153.2</v>
      </c>
      <c r="AC8" s="118">
        <v>160.3</v>
      </c>
      <c r="AD8" s="118">
        <v>155.4</v>
      </c>
      <c r="AE8" s="118">
        <v>154.4</v>
      </c>
      <c r="AH8" s="58" t="s">
        <v>204</v>
      </c>
      <c r="AO8" s="37"/>
    </row>
    <row r="9">
      <c r="C9" s="114">
        <v>2021.0</v>
      </c>
      <c r="D9" s="115" t="s">
        <v>205</v>
      </c>
      <c r="E9" s="116">
        <v>66.95308485294117</v>
      </c>
      <c r="F9" s="117">
        <v>146.3</v>
      </c>
      <c r="G9" s="118">
        <v>200.5</v>
      </c>
      <c r="H9" s="118">
        <v>170.3</v>
      </c>
      <c r="I9" s="118">
        <v>156.1</v>
      </c>
      <c r="J9" s="118">
        <v>178.7</v>
      </c>
      <c r="K9" s="118">
        <v>167.1</v>
      </c>
      <c r="L9" s="118">
        <v>147.9</v>
      </c>
      <c r="M9" s="118">
        <v>165.4</v>
      </c>
      <c r="N9" s="118">
        <v>114.8</v>
      </c>
      <c r="O9" s="118">
        <v>168.2</v>
      </c>
      <c r="P9" s="118">
        <v>159.3</v>
      </c>
      <c r="Q9" s="118">
        <v>170.4</v>
      </c>
      <c r="R9" s="118">
        <v>160.7</v>
      </c>
      <c r="S9" s="118">
        <v>191.9</v>
      </c>
      <c r="T9" s="118">
        <v>161.8</v>
      </c>
      <c r="U9" s="118">
        <v>152.1</v>
      </c>
      <c r="V9" s="118">
        <v>160.4</v>
      </c>
      <c r="W9" s="118">
        <v>161.6</v>
      </c>
      <c r="X9" s="118">
        <v>159.4</v>
      </c>
      <c r="Y9" s="118">
        <v>154.7</v>
      </c>
      <c r="Z9" s="118">
        <v>165.8</v>
      </c>
      <c r="AA9" s="118">
        <v>148.9</v>
      </c>
      <c r="AB9" s="118">
        <v>155.8</v>
      </c>
      <c r="AC9" s="118">
        <v>161.2</v>
      </c>
      <c r="AD9" s="118">
        <v>158.6</v>
      </c>
      <c r="AE9" s="118">
        <v>156.8</v>
      </c>
      <c r="AH9" s="58" t="s">
        <v>206</v>
      </c>
      <c r="AO9" s="37"/>
    </row>
    <row r="10">
      <c r="C10" s="114">
        <v>2021.0</v>
      </c>
      <c r="D10" s="115" t="s">
        <v>207</v>
      </c>
      <c r="E10" s="116">
        <v>71.98264747727272</v>
      </c>
      <c r="F10" s="117">
        <v>146.7</v>
      </c>
      <c r="G10" s="118">
        <v>202.0</v>
      </c>
      <c r="H10" s="118">
        <v>180.7</v>
      </c>
      <c r="I10" s="118">
        <v>156.2</v>
      </c>
      <c r="J10" s="118">
        <v>183.7</v>
      </c>
      <c r="K10" s="118">
        <v>164.6</v>
      </c>
      <c r="L10" s="118">
        <v>155.4</v>
      </c>
      <c r="M10" s="118">
        <v>166.0</v>
      </c>
      <c r="N10" s="118">
        <v>115.1</v>
      </c>
      <c r="O10" s="118">
        <v>168.5</v>
      </c>
      <c r="P10" s="118">
        <v>160.0</v>
      </c>
      <c r="Q10" s="118">
        <v>172.4</v>
      </c>
      <c r="R10" s="118">
        <v>162.6</v>
      </c>
      <c r="S10" s="118">
        <v>190.8</v>
      </c>
      <c r="T10" s="118">
        <v>162.2</v>
      </c>
      <c r="U10" s="118">
        <v>151.8</v>
      </c>
      <c r="V10" s="118">
        <v>160.7</v>
      </c>
      <c r="W10" s="118">
        <v>160.5</v>
      </c>
      <c r="X10" s="118">
        <v>159.8</v>
      </c>
      <c r="Y10" s="118">
        <v>154.8</v>
      </c>
      <c r="Z10" s="118">
        <v>166.3</v>
      </c>
      <c r="AA10" s="118">
        <v>150.7</v>
      </c>
      <c r="AB10" s="118">
        <v>154.9</v>
      </c>
      <c r="AC10" s="118">
        <v>161.7</v>
      </c>
      <c r="AD10" s="118">
        <v>158.8</v>
      </c>
      <c r="AE10" s="118">
        <v>157.6</v>
      </c>
      <c r="AH10" s="58" t="s">
        <v>208</v>
      </c>
      <c r="AO10" s="37"/>
    </row>
    <row r="11">
      <c r="B11" s="119" t="s">
        <v>209</v>
      </c>
      <c r="C11" s="114">
        <v>2021.0</v>
      </c>
      <c r="D11" s="115" t="s">
        <v>210</v>
      </c>
      <c r="E11" s="116">
        <v>73.53906052380951</v>
      </c>
      <c r="F11" s="117">
        <v>146.4</v>
      </c>
      <c r="G11" s="118">
        <v>206.8</v>
      </c>
      <c r="H11" s="118">
        <v>182.2</v>
      </c>
      <c r="I11" s="118">
        <v>157.5</v>
      </c>
      <c r="J11" s="118">
        <v>182.1</v>
      </c>
      <c r="K11" s="118">
        <v>163.9</v>
      </c>
      <c r="L11" s="118">
        <v>164.2</v>
      </c>
      <c r="M11" s="118">
        <v>164.0</v>
      </c>
      <c r="N11" s="118">
        <v>114.5</v>
      </c>
      <c r="O11" s="118">
        <v>168.3</v>
      </c>
      <c r="P11" s="118">
        <v>160.9</v>
      </c>
      <c r="Q11" s="118">
        <v>172.2</v>
      </c>
      <c r="R11" s="118">
        <v>164.0</v>
      </c>
      <c r="S11" s="118">
        <v>191.2</v>
      </c>
      <c r="T11" s="118">
        <v>162.8</v>
      </c>
      <c r="U11" s="118">
        <v>153.1</v>
      </c>
      <c r="V11" s="118">
        <v>161.4</v>
      </c>
      <c r="W11" s="118">
        <v>161.5</v>
      </c>
      <c r="X11" s="118">
        <v>160.7</v>
      </c>
      <c r="Y11" s="118">
        <v>155.8</v>
      </c>
      <c r="Z11" s="118">
        <v>167.0</v>
      </c>
      <c r="AA11" s="118">
        <v>153.1</v>
      </c>
      <c r="AB11" s="118">
        <v>155.3</v>
      </c>
      <c r="AC11" s="118">
        <v>163.2</v>
      </c>
      <c r="AD11" s="118">
        <v>160.1</v>
      </c>
      <c r="AE11" s="118">
        <v>159.0</v>
      </c>
      <c r="AH11" s="58"/>
      <c r="AO11" s="39"/>
    </row>
    <row r="12">
      <c r="B12" s="37"/>
      <c r="C12" s="114">
        <v>2021.0</v>
      </c>
      <c r="D12" s="115" t="s">
        <v>211</v>
      </c>
      <c r="E12" s="116">
        <v>69.80472442499999</v>
      </c>
      <c r="F12" s="117">
        <v>146.6</v>
      </c>
      <c r="G12" s="118">
        <v>204.0</v>
      </c>
      <c r="H12" s="118">
        <v>172.8</v>
      </c>
      <c r="I12" s="118">
        <v>158.4</v>
      </c>
      <c r="J12" s="118">
        <v>188.0</v>
      </c>
      <c r="K12" s="118">
        <v>156.8</v>
      </c>
      <c r="L12" s="118">
        <v>162.2</v>
      </c>
      <c r="M12" s="118">
        <v>164.1</v>
      </c>
      <c r="N12" s="118">
        <v>119.7</v>
      </c>
      <c r="O12" s="118">
        <v>168.8</v>
      </c>
      <c r="P12" s="118">
        <v>162.7</v>
      </c>
      <c r="Q12" s="118">
        <v>173.9</v>
      </c>
      <c r="R12" s="118">
        <v>164.0</v>
      </c>
      <c r="S12" s="118">
        <v>192.1</v>
      </c>
      <c r="T12" s="118">
        <v>164.5</v>
      </c>
      <c r="U12" s="118">
        <v>155.3</v>
      </c>
      <c r="V12" s="118">
        <v>163.2</v>
      </c>
      <c r="W12" s="118">
        <v>162.1</v>
      </c>
      <c r="X12" s="118">
        <v>162.6</v>
      </c>
      <c r="Y12" s="118">
        <v>157.5</v>
      </c>
      <c r="Z12" s="118">
        <v>168.4</v>
      </c>
      <c r="AA12" s="118">
        <v>154.0</v>
      </c>
      <c r="AB12" s="118">
        <v>157.6</v>
      </c>
      <c r="AC12" s="118">
        <v>163.8</v>
      </c>
      <c r="AD12" s="118">
        <v>160.0</v>
      </c>
      <c r="AE12" s="118">
        <v>160.0</v>
      </c>
      <c r="AH12" s="58" t="s">
        <v>212</v>
      </c>
      <c r="AO12" s="39"/>
    </row>
    <row r="13">
      <c r="B13" s="37"/>
      <c r="C13" s="114">
        <v>2021.0</v>
      </c>
      <c r="D13" s="115" t="s">
        <v>213</v>
      </c>
      <c r="E13" s="116">
        <v>73.13073829545455</v>
      </c>
      <c r="F13" s="117">
        <v>146.6</v>
      </c>
      <c r="G13" s="118">
        <v>204.0</v>
      </c>
      <c r="H13" s="118">
        <v>172.8</v>
      </c>
      <c r="I13" s="118">
        <v>158.4</v>
      </c>
      <c r="J13" s="118">
        <v>188.0</v>
      </c>
      <c r="K13" s="118">
        <v>156.7</v>
      </c>
      <c r="L13" s="118">
        <v>162.3</v>
      </c>
      <c r="M13" s="118">
        <v>164.1</v>
      </c>
      <c r="N13" s="118">
        <v>119.7</v>
      </c>
      <c r="O13" s="118">
        <v>168.8</v>
      </c>
      <c r="P13" s="118">
        <v>162.7</v>
      </c>
      <c r="Q13" s="118">
        <v>173.9</v>
      </c>
      <c r="R13" s="118">
        <v>164.0</v>
      </c>
      <c r="S13" s="118">
        <v>192.1</v>
      </c>
      <c r="T13" s="118">
        <v>164.6</v>
      </c>
      <c r="U13" s="118">
        <v>155.3</v>
      </c>
      <c r="V13" s="118">
        <v>163.3</v>
      </c>
      <c r="W13" s="118">
        <v>162.1</v>
      </c>
      <c r="X13" s="118">
        <v>162.6</v>
      </c>
      <c r="Y13" s="118">
        <v>157.5</v>
      </c>
      <c r="Z13" s="118">
        <v>168.4</v>
      </c>
      <c r="AA13" s="118">
        <v>154.0</v>
      </c>
      <c r="AB13" s="118">
        <v>157.7</v>
      </c>
      <c r="AC13" s="118">
        <v>163.7</v>
      </c>
      <c r="AD13" s="118">
        <v>160.0</v>
      </c>
      <c r="AE13" s="118">
        <v>160.0</v>
      </c>
      <c r="AH13" s="58" t="s">
        <v>214</v>
      </c>
      <c r="AO13" s="39"/>
    </row>
    <row r="14">
      <c r="B14" s="37"/>
      <c r="C14" s="114">
        <v>2021.0</v>
      </c>
      <c r="D14" s="115" t="s">
        <v>215</v>
      </c>
      <c r="E14" s="116">
        <v>82.1073937857143</v>
      </c>
      <c r="F14" s="117">
        <v>147.4</v>
      </c>
      <c r="G14" s="118">
        <v>204.6</v>
      </c>
      <c r="H14" s="118">
        <v>171.2</v>
      </c>
      <c r="I14" s="118">
        <v>158.7</v>
      </c>
      <c r="J14" s="118">
        <v>190.6</v>
      </c>
      <c r="K14" s="118">
        <v>155.7</v>
      </c>
      <c r="L14" s="118">
        <v>185.3</v>
      </c>
      <c r="M14" s="118">
        <v>165.2</v>
      </c>
      <c r="N14" s="118">
        <v>121.9</v>
      </c>
      <c r="O14" s="118">
        <v>169.3</v>
      </c>
      <c r="P14" s="118">
        <v>163.2</v>
      </c>
      <c r="Q14" s="118">
        <v>174.7</v>
      </c>
      <c r="R14" s="118">
        <v>167.7</v>
      </c>
      <c r="S14" s="118">
        <v>192.7</v>
      </c>
      <c r="T14" s="118">
        <v>165.7</v>
      </c>
      <c r="U14" s="118">
        <v>156.3</v>
      </c>
      <c r="V14" s="118">
        <v>164.3</v>
      </c>
      <c r="W14" s="118">
        <v>163.6</v>
      </c>
      <c r="X14" s="118">
        <v>164.2</v>
      </c>
      <c r="Y14" s="118">
        <v>158.4</v>
      </c>
      <c r="Z14" s="118">
        <v>169.1</v>
      </c>
      <c r="AA14" s="118">
        <v>155.7</v>
      </c>
      <c r="AB14" s="118">
        <v>158.6</v>
      </c>
      <c r="AC14" s="118">
        <v>163.9</v>
      </c>
      <c r="AD14" s="118">
        <v>160.8</v>
      </c>
      <c r="AE14" s="118">
        <v>161.0</v>
      </c>
      <c r="AH14" s="58"/>
      <c r="AO14" s="39"/>
    </row>
    <row r="15">
      <c r="B15" s="37"/>
      <c r="C15" s="114">
        <v>2021.0</v>
      </c>
      <c r="D15" s="115" t="s">
        <v>216</v>
      </c>
      <c r="E15" s="116">
        <v>80.63730102380953</v>
      </c>
      <c r="F15" s="117">
        <v>148.2</v>
      </c>
      <c r="G15" s="118">
        <v>201.6</v>
      </c>
      <c r="H15" s="118">
        <v>173.0</v>
      </c>
      <c r="I15" s="118">
        <v>159.3</v>
      </c>
      <c r="J15" s="118">
        <v>190.1</v>
      </c>
      <c r="K15" s="118">
        <v>156.5</v>
      </c>
      <c r="L15" s="118">
        <v>199.2</v>
      </c>
      <c r="M15" s="118">
        <v>165.3</v>
      </c>
      <c r="N15" s="118">
        <v>122.4</v>
      </c>
      <c r="O15" s="118">
        <v>169.6</v>
      </c>
      <c r="P15" s="118">
        <v>163.7</v>
      </c>
      <c r="Q15" s="118">
        <v>175.5</v>
      </c>
      <c r="R15" s="118">
        <v>169.7</v>
      </c>
      <c r="S15" s="118">
        <v>192.9</v>
      </c>
      <c r="T15" s="118">
        <v>167.2</v>
      </c>
      <c r="U15" s="118">
        <v>157.4</v>
      </c>
      <c r="V15" s="118">
        <v>165.8</v>
      </c>
      <c r="W15" s="118">
        <v>164.2</v>
      </c>
      <c r="X15" s="118">
        <v>163.9</v>
      </c>
      <c r="Y15" s="118">
        <v>159.3</v>
      </c>
      <c r="Z15" s="118">
        <v>169.9</v>
      </c>
      <c r="AA15" s="118">
        <v>154.8</v>
      </c>
      <c r="AB15" s="118">
        <v>159.8</v>
      </c>
      <c r="AC15" s="118">
        <v>164.3</v>
      </c>
      <c r="AD15" s="118">
        <v>162.2</v>
      </c>
      <c r="AE15" s="118">
        <v>161.4</v>
      </c>
      <c r="AH15" s="58" t="s">
        <v>217</v>
      </c>
      <c r="AO15" s="39"/>
    </row>
    <row r="16">
      <c r="B16" s="37"/>
      <c r="C16" s="114">
        <v>2021.0</v>
      </c>
      <c r="D16" s="115" t="s">
        <v>218</v>
      </c>
      <c r="E16" s="116">
        <v>73.29882352380953</v>
      </c>
      <c r="F16" s="117">
        <v>148.7</v>
      </c>
      <c r="G16" s="118">
        <v>198.8</v>
      </c>
      <c r="H16" s="118">
        <v>177.9</v>
      </c>
      <c r="I16" s="118">
        <v>159.9</v>
      </c>
      <c r="J16" s="118">
        <v>187.6</v>
      </c>
      <c r="K16" s="118">
        <v>154.9</v>
      </c>
      <c r="L16" s="118">
        <v>188.3</v>
      </c>
      <c r="M16" s="118">
        <v>164.4</v>
      </c>
      <c r="N16" s="118">
        <v>121.0</v>
      </c>
      <c r="O16" s="118">
        <v>170.5</v>
      </c>
      <c r="P16" s="118">
        <v>164.2</v>
      </c>
      <c r="Q16" s="118">
        <v>176.5</v>
      </c>
      <c r="R16" s="118">
        <v>168.2</v>
      </c>
      <c r="S16" s="118">
        <v>192.4</v>
      </c>
      <c r="T16" s="118">
        <v>168.5</v>
      </c>
      <c r="U16" s="118">
        <v>158.7</v>
      </c>
      <c r="V16" s="118">
        <v>167.0</v>
      </c>
      <c r="W16" s="118">
        <v>163.4</v>
      </c>
      <c r="X16" s="118">
        <v>164.1</v>
      </c>
      <c r="Y16" s="118">
        <v>160.2</v>
      </c>
      <c r="Z16" s="118">
        <v>170.6</v>
      </c>
      <c r="AA16" s="118">
        <v>155.7</v>
      </c>
      <c r="AB16" s="118">
        <v>160.6</v>
      </c>
      <c r="AC16" s="118">
        <v>164.4</v>
      </c>
      <c r="AD16" s="118">
        <v>162.6</v>
      </c>
      <c r="AE16" s="118">
        <v>162.0</v>
      </c>
      <c r="AH16" s="107" t="s">
        <v>219</v>
      </c>
      <c r="AI16" s="43"/>
      <c r="AJ16" s="43"/>
      <c r="AK16" s="43"/>
      <c r="AL16" s="43"/>
      <c r="AM16" s="43"/>
      <c r="AN16" s="43"/>
      <c r="AO16" s="44"/>
    </row>
    <row r="17">
      <c r="B17" s="37"/>
      <c r="C17" s="114">
        <v>2022.0</v>
      </c>
      <c r="D17" s="115" t="s">
        <v>200</v>
      </c>
      <c r="E17" s="116">
        <v>84.66631879999998</v>
      </c>
      <c r="F17" s="117">
        <v>149.5</v>
      </c>
      <c r="G17" s="118">
        <v>198.7</v>
      </c>
      <c r="H17" s="118">
        <v>178.8</v>
      </c>
      <c r="I17" s="118">
        <v>160.5</v>
      </c>
      <c r="J17" s="118">
        <v>184.7</v>
      </c>
      <c r="K17" s="118">
        <v>153.7</v>
      </c>
      <c r="L17" s="118">
        <v>174.3</v>
      </c>
      <c r="M17" s="118">
        <v>163.9</v>
      </c>
      <c r="N17" s="118">
        <v>120.0</v>
      </c>
      <c r="O17" s="118">
        <v>172.1</v>
      </c>
      <c r="P17" s="118">
        <v>164.3</v>
      </c>
      <c r="Q17" s="118">
        <v>177.3</v>
      </c>
      <c r="R17" s="118">
        <v>166.4</v>
      </c>
      <c r="S17" s="118">
        <v>192.2</v>
      </c>
      <c r="T17" s="118">
        <v>169.9</v>
      </c>
      <c r="U17" s="118">
        <v>160.7</v>
      </c>
      <c r="V17" s="118">
        <v>168.5</v>
      </c>
      <c r="W17" s="118">
        <v>164.5</v>
      </c>
      <c r="X17" s="118">
        <v>164.2</v>
      </c>
      <c r="Y17" s="118">
        <v>161.1</v>
      </c>
      <c r="Z17" s="118">
        <v>171.4</v>
      </c>
      <c r="AA17" s="118">
        <v>156.5</v>
      </c>
      <c r="AB17" s="118">
        <v>161.2</v>
      </c>
      <c r="AC17" s="118">
        <v>164.7</v>
      </c>
      <c r="AD17" s="118">
        <v>163.0</v>
      </c>
      <c r="AE17" s="118">
        <v>162.7</v>
      </c>
    </row>
    <row r="18">
      <c r="B18" s="37"/>
      <c r="C18" s="114">
        <v>2022.0</v>
      </c>
      <c r="D18" s="115" t="s">
        <v>201</v>
      </c>
      <c r="E18" s="116">
        <v>94.06771519444445</v>
      </c>
      <c r="F18" s="117">
        <v>150.0</v>
      </c>
      <c r="G18" s="118">
        <v>200.6</v>
      </c>
      <c r="H18" s="118">
        <v>175.8</v>
      </c>
      <c r="I18" s="118">
        <v>160.7</v>
      </c>
      <c r="J18" s="118">
        <v>184.9</v>
      </c>
      <c r="K18" s="118">
        <v>153.7</v>
      </c>
      <c r="L18" s="118">
        <v>169.7</v>
      </c>
      <c r="M18" s="118">
        <v>163.7</v>
      </c>
      <c r="N18" s="118">
        <v>118.9</v>
      </c>
      <c r="O18" s="118">
        <v>174.3</v>
      </c>
      <c r="P18" s="118">
        <v>164.7</v>
      </c>
      <c r="Q18" s="118">
        <v>178.0</v>
      </c>
      <c r="R18" s="118">
        <v>166.2</v>
      </c>
      <c r="S18" s="118">
        <v>192.8</v>
      </c>
      <c r="T18" s="118">
        <v>170.8</v>
      </c>
      <c r="U18" s="118">
        <v>162.4</v>
      </c>
      <c r="V18" s="118">
        <v>169.6</v>
      </c>
      <c r="W18" s="118">
        <v>165.5</v>
      </c>
      <c r="X18" s="118">
        <v>165.7</v>
      </c>
      <c r="Y18" s="118">
        <v>161.8</v>
      </c>
      <c r="Z18" s="118">
        <v>172.2</v>
      </c>
      <c r="AA18" s="118">
        <v>156.9</v>
      </c>
      <c r="AB18" s="118">
        <v>162.1</v>
      </c>
      <c r="AC18" s="118">
        <v>165.4</v>
      </c>
      <c r="AD18" s="118">
        <v>164.4</v>
      </c>
      <c r="AE18" s="118">
        <v>163.5</v>
      </c>
    </row>
    <row r="19">
      <c r="B19" s="37"/>
      <c r="C19" s="114">
        <v>2022.0</v>
      </c>
      <c r="D19" s="115" t="s">
        <v>202</v>
      </c>
      <c r="E19" s="116">
        <v>112.87479254347826</v>
      </c>
      <c r="F19" s="117">
        <v>151.3</v>
      </c>
      <c r="G19" s="118">
        <v>210.7</v>
      </c>
      <c r="H19" s="118">
        <v>167.8</v>
      </c>
      <c r="I19" s="118">
        <v>162.2</v>
      </c>
      <c r="J19" s="118">
        <v>194.6</v>
      </c>
      <c r="K19" s="118">
        <v>157.6</v>
      </c>
      <c r="L19" s="118">
        <v>166.9</v>
      </c>
      <c r="M19" s="118">
        <v>163.9</v>
      </c>
      <c r="N19" s="118">
        <v>118.8</v>
      </c>
      <c r="O19" s="118">
        <v>177.4</v>
      </c>
      <c r="P19" s="118">
        <v>165.3</v>
      </c>
      <c r="Q19" s="118">
        <v>179.3</v>
      </c>
      <c r="R19" s="118">
        <v>168.4</v>
      </c>
      <c r="S19" s="118">
        <v>193.7</v>
      </c>
      <c r="T19" s="118">
        <v>172.1</v>
      </c>
      <c r="U19" s="118">
        <v>164.6</v>
      </c>
      <c r="V19" s="118">
        <v>171.1</v>
      </c>
      <c r="W19" s="118">
        <v>165.3</v>
      </c>
      <c r="X19" s="118">
        <v>167.2</v>
      </c>
      <c r="Y19" s="118">
        <v>162.8</v>
      </c>
      <c r="Z19" s="118">
        <v>173.0</v>
      </c>
      <c r="AA19" s="118">
        <v>157.9</v>
      </c>
      <c r="AB19" s="118">
        <v>163.3</v>
      </c>
      <c r="AC19" s="118">
        <v>166.0</v>
      </c>
      <c r="AD19" s="118">
        <v>167.2</v>
      </c>
      <c r="AE19" s="118">
        <v>164.6</v>
      </c>
    </row>
    <row r="20">
      <c r="B20" s="37"/>
      <c r="C20" s="114">
        <v>2022.0</v>
      </c>
      <c r="D20" s="115" t="s">
        <v>203</v>
      </c>
      <c r="E20" s="116">
        <v>102.96599786842103</v>
      </c>
      <c r="F20" s="117">
        <v>152.9</v>
      </c>
      <c r="G20" s="118">
        <v>211.8</v>
      </c>
      <c r="H20" s="118">
        <v>164.5</v>
      </c>
      <c r="I20" s="118">
        <v>163.9</v>
      </c>
      <c r="J20" s="118">
        <v>199.5</v>
      </c>
      <c r="K20" s="118">
        <v>172.6</v>
      </c>
      <c r="L20" s="118">
        <v>166.2</v>
      </c>
      <c r="M20" s="118">
        <v>164.7</v>
      </c>
      <c r="N20" s="118">
        <v>119.0</v>
      </c>
      <c r="O20" s="118">
        <v>181.3</v>
      </c>
      <c r="P20" s="118">
        <v>166.2</v>
      </c>
      <c r="Q20" s="118">
        <v>180.9</v>
      </c>
      <c r="R20" s="118">
        <v>170.8</v>
      </c>
      <c r="S20" s="118">
        <v>193.9</v>
      </c>
      <c r="T20" s="118">
        <v>173.9</v>
      </c>
      <c r="U20" s="118">
        <v>166.5</v>
      </c>
      <c r="V20" s="118">
        <v>172.8</v>
      </c>
      <c r="W20" s="118">
        <v>167.0</v>
      </c>
      <c r="X20" s="118">
        <v>172.2</v>
      </c>
      <c r="Y20" s="118">
        <v>164.0</v>
      </c>
      <c r="Z20" s="118">
        <v>174.0</v>
      </c>
      <c r="AA20" s="118">
        <v>162.6</v>
      </c>
      <c r="AB20" s="118">
        <v>164.4</v>
      </c>
      <c r="AC20" s="118">
        <v>166.9</v>
      </c>
      <c r="AD20" s="118">
        <v>168.8</v>
      </c>
      <c r="AE20" s="118">
        <v>166.8</v>
      </c>
    </row>
    <row r="21" ht="15.75" customHeight="1">
      <c r="C21" s="114">
        <v>2022.0</v>
      </c>
      <c r="D21" s="115" t="s">
        <v>205</v>
      </c>
      <c r="E21" s="116">
        <v>109.50503773684208</v>
      </c>
      <c r="F21" s="117">
        <v>154.1</v>
      </c>
      <c r="G21" s="118">
        <v>217.0</v>
      </c>
      <c r="H21" s="118">
        <v>162.4</v>
      </c>
      <c r="I21" s="118">
        <v>164.9</v>
      </c>
      <c r="J21" s="118">
        <v>202.4</v>
      </c>
      <c r="K21" s="118">
        <v>171.0</v>
      </c>
      <c r="L21" s="118">
        <v>174.9</v>
      </c>
      <c r="M21" s="118">
        <v>164.7</v>
      </c>
      <c r="N21" s="118">
        <v>119.7</v>
      </c>
      <c r="O21" s="118">
        <v>184.9</v>
      </c>
      <c r="P21" s="118">
        <v>167.1</v>
      </c>
      <c r="Q21" s="118">
        <v>182.5</v>
      </c>
      <c r="R21" s="118">
        <v>173.3</v>
      </c>
      <c r="S21" s="118">
        <v>194.1</v>
      </c>
      <c r="T21" s="118">
        <v>175.6</v>
      </c>
      <c r="U21" s="118">
        <v>168.4</v>
      </c>
      <c r="V21" s="118">
        <v>174.6</v>
      </c>
      <c r="W21" s="118">
        <v>167.5</v>
      </c>
      <c r="X21" s="118">
        <v>174.6</v>
      </c>
      <c r="Y21" s="118">
        <v>165.2</v>
      </c>
      <c r="Z21" s="118">
        <v>174.8</v>
      </c>
      <c r="AA21" s="118">
        <v>163.0</v>
      </c>
      <c r="AB21" s="118">
        <v>165.1</v>
      </c>
      <c r="AC21" s="118">
        <v>167.9</v>
      </c>
      <c r="AD21" s="118">
        <v>168.4</v>
      </c>
      <c r="AE21" s="118">
        <v>167.5</v>
      </c>
    </row>
    <row r="22" ht="15.75" customHeight="1">
      <c r="C22" s="114">
        <v>2022.0</v>
      </c>
      <c r="D22" s="115" t="s">
        <v>207</v>
      </c>
      <c r="E22" s="116">
        <v>116.01138504999999</v>
      </c>
      <c r="F22" s="117">
        <v>155.0</v>
      </c>
      <c r="G22" s="118">
        <v>219.4</v>
      </c>
      <c r="H22" s="118">
        <v>170.8</v>
      </c>
      <c r="I22" s="118">
        <v>165.8</v>
      </c>
      <c r="J22" s="118">
        <v>200.9</v>
      </c>
      <c r="K22" s="118">
        <v>169.7</v>
      </c>
      <c r="L22" s="118">
        <v>182.3</v>
      </c>
      <c r="M22" s="118">
        <v>164.3</v>
      </c>
      <c r="N22" s="118">
        <v>119.9</v>
      </c>
      <c r="O22" s="118">
        <v>187.1</v>
      </c>
      <c r="P22" s="118">
        <v>167.9</v>
      </c>
      <c r="Q22" s="118">
        <v>183.9</v>
      </c>
      <c r="R22" s="118">
        <v>174.9</v>
      </c>
      <c r="S22" s="118">
        <v>194.3</v>
      </c>
      <c r="T22" s="118">
        <v>177.1</v>
      </c>
      <c r="U22" s="118">
        <v>169.9</v>
      </c>
      <c r="V22" s="118">
        <v>176.0</v>
      </c>
      <c r="W22" s="118">
        <v>166.8</v>
      </c>
      <c r="X22" s="118">
        <v>176.0</v>
      </c>
      <c r="Y22" s="118">
        <v>166.4</v>
      </c>
      <c r="Z22" s="118">
        <v>175.4</v>
      </c>
      <c r="AA22" s="118">
        <v>161.1</v>
      </c>
      <c r="AB22" s="118">
        <v>165.8</v>
      </c>
      <c r="AC22" s="118">
        <v>169.0</v>
      </c>
      <c r="AD22" s="118">
        <v>169.4</v>
      </c>
      <c r="AE22" s="118">
        <v>167.5</v>
      </c>
    </row>
    <row r="23" ht="15.75" customHeight="1">
      <c r="C23" s="114">
        <v>2022.0</v>
      </c>
      <c r="D23" s="115" t="s">
        <v>210</v>
      </c>
      <c r="E23" s="116">
        <v>105.49124737500001</v>
      </c>
      <c r="F23" s="117">
        <v>156.5</v>
      </c>
      <c r="G23" s="118">
        <v>213.0</v>
      </c>
      <c r="H23" s="118">
        <v>175.2</v>
      </c>
      <c r="I23" s="118">
        <v>166.6</v>
      </c>
      <c r="J23" s="118">
        <v>195.8</v>
      </c>
      <c r="K23" s="118">
        <v>174.2</v>
      </c>
      <c r="L23" s="118">
        <v>182.1</v>
      </c>
      <c r="M23" s="118">
        <v>164.3</v>
      </c>
      <c r="N23" s="118">
        <v>120.0</v>
      </c>
      <c r="O23" s="118">
        <v>190.0</v>
      </c>
      <c r="P23" s="118">
        <v>168.4</v>
      </c>
      <c r="Q23" s="118">
        <v>185.2</v>
      </c>
      <c r="R23" s="118">
        <v>175.0</v>
      </c>
      <c r="S23" s="118">
        <v>194.6</v>
      </c>
      <c r="T23" s="118">
        <v>178.3</v>
      </c>
      <c r="U23" s="118">
        <v>171.3</v>
      </c>
      <c r="V23" s="118">
        <v>177.3</v>
      </c>
      <c r="W23" s="118">
        <v>167.8</v>
      </c>
      <c r="X23" s="118">
        <v>179.6</v>
      </c>
      <c r="Y23" s="118">
        <v>167.4</v>
      </c>
      <c r="Z23" s="118">
        <v>176.1</v>
      </c>
      <c r="AA23" s="118">
        <v>161.6</v>
      </c>
      <c r="AB23" s="118">
        <v>166.3</v>
      </c>
      <c r="AC23" s="118">
        <v>171.4</v>
      </c>
      <c r="AD23" s="118">
        <v>169.7</v>
      </c>
      <c r="AE23" s="118">
        <v>168.4</v>
      </c>
    </row>
    <row r="24" ht="15.75" customHeight="1">
      <c r="C24" s="114">
        <v>2022.0</v>
      </c>
      <c r="D24" s="115" t="s">
        <v>211</v>
      </c>
      <c r="E24" s="116">
        <v>97.40446542857143</v>
      </c>
      <c r="F24" s="117">
        <v>160.3</v>
      </c>
      <c r="G24" s="118">
        <v>206.5</v>
      </c>
      <c r="H24" s="118">
        <v>169.2</v>
      </c>
      <c r="I24" s="118">
        <v>168.1</v>
      </c>
      <c r="J24" s="118">
        <v>192.4</v>
      </c>
      <c r="K24" s="118">
        <v>172.9</v>
      </c>
      <c r="L24" s="118">
        <v>186.7</v>
      </c>
      <c r="M24" s="118">
        <v>167.2</v>
      </c>
      <c r="N24" s="118">
        <v>120.9</v>
      </c>
      <c r="O24" s="118">
        <v>193.6</v>
      </c>
      <c r="P24" s="118">
        <v>168.8</v>
      </c>
      <c r="Q24" s="118">
        <v>186.3</v>
      </c>
      <c r="R24" s="118">
        <v>176.3</v>
      </c>
      <c r="S24" s="118">
        <v>195.0</v>
      </c>
      <c r="T24" s="118">
        <v>179.5</v>
      </c>
      <c r="U24" s="118">
        <v>172.7</v>
      </c>
      <c r="V24" s="118">
        <v>178.5</v>
      </c>
      <c r="W24" s="118">
        <v>169.0</v>
      </c>
      <c r="X24" s="118">
        <v>178.8</v>
      </c>
      <c r="Y24" s="118">
        <v>168.5</v>
      </c>
      <c r="Z24" s="118">
        <v>176.8</v>
      </c>
      <c r="AA24" s="118">
        <v>161.9</v>
      </c>
      <c r="AB24" s="118">
        <v>166.9</v>
      </c>
      <c r="AC24" s="118">
        <v>172.3</v>
      </c>
      <c r="AD24" s="118">
        <v>171.2</v>
      </c>
      <c r="AE24" s="118">
        <v>169.1</v>
      </c>
    </row>
    <row r="25" ht="15.75" customHeight="1">
      <c r="C25" s="114">
        <v>2022.0</v>
      </c>
      <c r="D25" s="115" t="s">
        <v>213</v>
      </c>
      <c r="E25" s="116">
        <v>90.70634480952381</v>
      </c>
      <c r="F25" s="117">
        <v>163.5</v>
      </c>
      <c r="G25" s="118">
        <v>209.2</v>
      </c>
      <c r="H25" s="118">
        <v>169.7</v>
      </c>
      <c r="I25" s="118">
        <v>169.7</v>
      </c>
      <c r="J25" s="118">
        <v>188.7</v>
      </c>
      <c r="K25" s="118">
        <v>165.7</v>
      </c>
      <c r="L25" s="118">
        <v>191.8</v>
      </c>
      <c r="M25" s="118">
        <v>169.1</v>
      </c>
      <c r="N25" s="118">
        <v>121.6</v>
      </c>
      <c r="O25" s="118">
        <v>197.3</v>
      </c>
      <c r="P25" s="118">
        <v>169.4</v>
      </c>
      <c r="Q25" s="118">
        <v>187.4</v>
      </c>
      <c r="R25" s="118">
        <v>177.8</v>
      </c>
      <c r="S25" s="118">
        <v>195.9</v>
      </c>
      <c r="T25" s="118">
        <v>180.9</v>
      </c>
      <c r="U25" s="118">
        <v>174.3</v>
      </c>
      <c r="V25" s="118">
        <v>179.9</v>
      </c>
      <c r="W25" s="118">
        <v>169.5</v>
      </c>
      <c r="X25" s="118">
        <v>179.5</v>
      </c>
      <c r="Y25" s="118">
        <v>169.5</v>
      </c>
      <c r="Z25" s="118">
        <v>177.8</v>
      </c>
      <c r="AA25" s="118">
        <v>162.3</v>
      </c>
      <c r="AB25" s="118">
        <v>167.6</v>
      </c>
      <c r="AC25" s="118">
        <v>173.1</v>
      </c>
      <c r="AD25" s="118">
        <v>170.9</v>
      </c>
      <c r="AE25" s="118">
        <v>169.7</v>
      </c>
    </row>
    <row r="26" ht="15.75" customHeight="1">
      <c r="C26" s="114">
        <v>2022.0</v>
      </c>
      <c r="D26" s="115" t="s">
        <v>215</v>
      </c>
      <c r="E26" s="116">
        <v>91.6989487</v>
      </c>
      <c r="F26" s="117">
        <v>165.2</v>
      </c>
      <c r="G26" s="118">
        <v>210.9</v>
      </c>
      <c r="H26" s="118">
        <v>170.9</v>
      </c>
      <c r="I26" s="118">
        <v>170.9</v>
      </c>
      <c r="J26" s="118">
        <v>186.5</v>
      </c>
      <c r="K26" s="118">
        <v>163.8</v>
      </c>
      <c r="L26" s="118">
        <v>199.7</v>
      </c>
      <c r="M26" s="118">
        <v>169.8</v>
      </c>
      <c r="N26" s="118">
        <v>121.9</v>
      </c>
      <c r="O26" s="118">
        <v>199.9</v>
      </c>
      <c r="P26" s="118">
        <v>169.9</v>
      </c>
      <c r="Q26" s="118">
        <v>188.3</v>
      </c>
      <c r="R26" s="118">
        <v>179.6</v>
      </c>
      <c r="S26" s="118">
        <v>196.3</v>
      </c>
      <c r="T26" s="118">
        <v>181.9</v>
      </c>
      <c r="U26" s="118">
        <v>175.3</v>
      </c>
      <c r="V26" s="118">
        <v>181.0</v>
      </c>
      <c r="W26" s="118">
        <v>171.2</v>
      </c>
      <c r="X26" s="118">
        <v>180.5</v>
      </c>
      <c r="Y26" s="118">
        <v>170.4</v>
      </c>
      <c r="Z26" s="118">
        <v>178.7</v>
      </c>
      <c r="AA26" s="118">
        <v>162.9</v>
      </c>
      <c r="AB26" s="118">
        <v>168.2</v>
      </c>
      <c r="AC26" s="118">
        <v>173.4</v>
      </c>
      <c r="AD26" s="118">
        <v>172.1</v>
      </c>
      <c r="AE26" s="118">
        <v>170.5</v>
      </c>
    </row>
    <row r="27" ht="15.75" customHeight="1">
      <c r="C27" s="114">
        <v>2022.0</v>
      </c>
      <c r="D27" s="115" t="s">
        <v>216</v>
      </c>
      <c r="E27" s="116">
        <v>87.55226606818182</v>
      </c>
      <c r="F27" s="117">
        <v>167.4</v>
      </c>
      <c r="G27" s="118">
        <v>209.4</v>
      </c>
      <c r="H27" s="118">
        <v>181.4</v>
      </c>
      <c r="I27" s="118">
        <v>172.3</v>
      </c>
      <c r="J27" s="118">
        <v>188.9</v>
      </c>
      <c r="K27" s="118">
        <v>160.7</v>
      </c>
      <c r="L27" s="118">
        <v>183.1</v>
      </c>
      <c r="M27" s="118">
        <v>170.5</v>
      </c>
      <c r="N27" s="118">
        <v>122.1</v>
      </c>
      <c r="O27" s="118">
        <v>202.8</v>
      </c>
      <c r="P27" s="118">
        <v>170.4</v>
      </c>
      <c r="Q27" s="118">
        <v>189.5</v>
      </c>
      <c r="R27" s="118">
        <v>178.3</v>
      </c>
      <c r="S27" s="118">
        <v>196.9</v>
      </c>
      <c r="T27" s="118">
        <v>183.1</v>
      </c>
      <c r="U27" s="118">
        <v>176.2</v>
      </c>
      <c r="V27" s="118">
        <v>182.1</v>
      </c>
      <c r="W27" s="118">
        <v>171.8</v>
      </c>
      <c r="X27" s="118">
        <v>181.3</v>
      </c>
      <c r="Y27" s="118">
        <v>171.4</v>
      </c>
      <c r="Z27" s="118">
        <v>179.8</v>
      </c>
      <c r="AA27" s="118">
        <v>163.0</v>
      </c>
      <c r="AB27" s="118">
        <v>168.5</v>
      </c>
      <c r="AC27" s="118">
        <v>173.7</v>
      </c>
      <c r="AD27" s="118">
        <v>173.6</v>
      </c>
      <c r="AE27" s="118">
        <v>171.1</v>
      </c>
    </row>
    <row r="28" ht="15.75" customHeight="1">
      <c r="C28" s="120">
        <v>2022.0</v>
      </c>
      <c r="D28" s="121" t="s">
        <v>218</v>
      </c>
      <c r="E28" s="122">
        <v>78.10094227500001</v>
      </c>
      <c r="F28" s="117">
        <v>169.2</v>
      </c>
      <c r="G28" s="118">
        <v>209.0</v>
      </c>
      <c r="H28" s="118">
        <v>190.2</v>
      </c>
      <c r="I28" s="118">
        <v>173.6</v>
      </c>
      <c r="J28" s="118">
        <v>188.5</v>
      </c>
      <c r="K28" s="118">
        <v>158.0</v>
      </c>
      <c r="L28" s="118">
        <v>159.9</v>
      </c>
      <c r="M28" s="118">
        <v>170.8</v>
      </c>
      <c r="N28" s="118">
        <v>121.8</v>
      </c>
      <c r="O28" s="118">
        <v>205.2</v>
      </c>
      <c r="P28" s="118">
        <v>171.0</v>
      </c>
      <c r="Q28" s="118">
        <v>190.3</v>
      </c>
      <c r="R28" s="118">
        <v>175.9</v>
      </c>
      <c r="S28" s="118">
        <v>197.3</v>
      </c>
      <c r="T28" s="118">
        <v>184.0</v>
      </c>
      <c r="U28" s="118">
        <v>177.0</v>
      </c>
      <c r="V28" s="118">
        <v>183.0</v>
      </c>
      <c r="W28" s="118">
        <v>170.7</v>
      </c>
      <c r="X28" s="118">
        <v>182.0</v>
      </c>
      <c r="Y28" s="118">
        <v>172.1</v>
      </c>
      <c r="Z28" s="118">
        <v>181.1</v>
      </c>
      <c r="AA28" s="118">
        <v>163.4</v>
      </c>
      <c r="AB28" s="118">
        <v>168.9</v>
      </c>
      <c r="AC28" s="118">
        <v>174.1</v>
      </c>
      <c r="AD28" s="118">
        <v>175.8</v>
      </c>
      <c r="AE28" s="118">
        <v>172.0</v>
      </c>
    </row>
    <row r="29" ht="15.75" customHeight="1"/>
    <row r="30" ht="15.75" customHeight="1"/>
    <row r="31" ht="15.75" customHeight="1">
      <c r="D31" s="123" t="s">
        <v>99</v>
      </c>
      <c r="E31" s="124"/>
      <c r="F31" s="113" t="s">
        <v>60</v>
      </c>
      <c r="G31" s="11" t="s">
        <v>61</v>
      </c>
      <c r="H31" s="11" t="s">
        <v>5</v>
      </c>
      <c r="I31" s="11" t="s">
        <v>63</v>
      </c>
      <c r="J31" s="11" t="s">
        <v>66</v>
      </c>
      <c r="K31" s="11" t="s">
        <v>8</v>
      </c>
      <c r="L31" s="11" t="s">
        <v>9</v>
      </c>
      <c r="M31" s="11" t="s">
        <v>73</v>
      </c>
      <c r="N31" s="11" t="s">
        <v>76</v>
      </c>
      <c r="O31" s="11" t="s">
        <v>12</v>
      </c>
      <c r="P31" s="11" t="s">
        <v>77</v>
      </c>
      <c r="Q31" s="11" t="s">
        <v>78</v>
      </c>
      <c r="R31" s="11" t="s">
        <v>79</v>
      </c>
      <c r="S31" s="11" t="s">
        <v>80</v>
      </c>
      <c r="T31" s="11" t="s">
        <v>17</v>
      </c>
      <c r="U31" s="11" t="s">
        <v>18</v>
      </c>
      <c r="V31" s="11" t="s">
        <v>82</v>
      </c>
      <c r="W31" s="11" t="s">
        <v>20</v>
      </c>
      <c r="X31" s="11" t="s">
        <v>83</v>
      </c>
      <c r="Y31" s="11" t="s">
        <v>84</v>
      </c>
      <c r="Z31" s="11" t="s">
        <v>23</v>
      </c>
      <c r="AA31" s="11" t="s">
        <v>85</v>
      </c>
      <c r="AB31" s="11" t="s">
        <v>87</v>
      </c>
      <c r="AC31" s="11" t="s">
        <v>26</v>
      </c>
      <c r="AD31" s="11" t="s">
        <v>88</v>
      </c>
      <c r="AE31" s="11" t="s">
        <v>89</v>
      </c>
    </row>
    <row r="32" ht="15.75" customHeight="1">
      <c r="D32" s="123" t="s">
        <v>75</v>
      </c>
      <c r="E32" s="124"/>
      <c r="F32" s="125">
        <f t="shared" ref="F32:AE32" si="1">CORREL($E$5:$E$28,F5:F28)</f>
        <v>0.5078267393</v>
      </c>
      <c r="G32" s="125">
        <f t="shared" si="1"/>
        <v>0.8419119202</v>
      </c>
      <c r="H32" s="125">
        <f t="shared" si="1"/>
        <v>-0.2036224702</v>
      </c>
      <c r="I32" s="125">
        <f t="shared" si="1"/>
        <v>0.6343643877</v>
      </c>
      <c r="J32" s="125">
        <f t="shared" si="1"/>
        <v>0.8262025948</v>
      </c>
      <c r="K32" s="125">
        <f t="shared" si="1"/>
        <v>0.5913932311</v>
      </c>
      <c r="L32" s="125">
        <f t="shared" si="1"/>
        <v>0.350746534</v>
      </c>
      <c r="M32" s="125">
        <f t="shared" si="1"/>
        <v>0.3642700364</v>
      </c>
      <c r="N32" s="125">
        <f t="shared" si="1"/>
        <v>0.5670972918</v>
      </c>
      <c r="O32" s="125">
        <f t="shared" si="1"/>
        <v>0.5905372734</v>
      </c>
      <c r="P32" s="125">
        <f t="shared" si="1"/>
        <v>0.7526040389</v>
      </c>
      <c r="Q32" s="125">
        <f t="shared" si="1"/>
        <v>0.7181693663</v>
      </c>
      <c r="R32" s="125">
        <f t="shared" si="1"/>
        <v>0.7177159309</v>
      </c>
      <c r="S32" s="125">
        <f t="shared" si="1"/>
        <v>0.6886716141</v>
      </c>
      <c r="T32" s="125">
        <f t="shared" si="1"/>
        <v>0.7371873567</v>
      </c>
      <c r="U32" s="125">
        <f t="shared" si="1"/>
        <v>0.7486956267</v>
      </c>
      <c r="V32" s="125">
        <f t="shared" si="1"/>
        <v>0.7393580302</v>
      </c>
      <c r="W32" s="125">
        <f t="shared" si="1"/>
        <v>0.6978780252</v>
      </c>
      <c r="X32" s="125">
        <f t="shared" si="1"/>
        <v>0.7369538452</v>
      </c>
      <c r="Y32" s="125">
        <f t="shared" si="1"/>
        <v>0.7303737402</v>
      </c>
      <c r="Z32" s="125">
        <f t="shared" si="1"/>
        <v>0.7388199529</v>
      </c>
      <c r="AA32" s="125">
        <f t="shared" si="1"/>
        <v>0.8152016627</v>
      </c>
      <c r="AB32" s="125">
        <f t="shared" si="1"/>
        <v>0.7856304552</v>
      </c>
      <c r="AC32" s="125">
        <f t="shared" si="1"/>
        <v>0.6531386427</v>
      </c>
      <c r="AD32" s="125">
        <f t="shared" si="1"/>
        <v>0.7337208456</v>
      </c>
      <c r="AE32" s="125">
        <f t="shared" si="1"/>
        <v>0.765600041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N2:T2"/>
    <mergeCell ref="AH8:AO8"/>
    <mergeCell ref="AH9:AO9"/>
    <mergeCell ref="AH10:AO10"/>
    <mergeCell ref="B11:B20"/>
    <mergeCell ref="D31:E31"/>
    <mergeCell ref="D32:E32"/>
  </mergeCells>
  <conditionalFormatting sqref="F32:AE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30" width="8.71"/>
  </cols>
  <sheetData>
    <row r="1">
      <c r="B1" s="126"/>
    </row>
    <row r="2">
      <c r="B2" s="127" t="s">
        <v>220</v>
      </c>
      <c r="W2" s="127"/>
      <c r="X2" s="127"/>
      <c r="Y2" s="127"/>
    </row>
    <row r="3" ht="15.0" customHeight="1">
      <c r="W3" s="127"/>
      <c r="X3" s="127"/>
      <c r="Y3" s="127"/>
    </row>
    <row r="4" ht="15.0" customHeight="1">
      <c r="W4" s="127"/>
      <c r="X4" s="127"/>
      <c r="Y4" s="127"/>
    </row>
    <row r="5" ht="15.0" customHeight="1">
      <c r="B5" s="126"/>
      <c r="W5" s="126"/>
      <c r="X5" s="126"/>
      <c r="Y5" s="126"/>
      <c r="Z5" s="126"/>
      <c r="AA5" s="126"/>
      <c r="AB5" s="126"/>
      <c r="AC5" s="126"/>
      <c r="AD5" s="126"/>
    </row>
    <row r="6" ht="21.0" customHeight="1">
      <c r="W6" s="126"/>
      <c r="X6" s="126"/>
      <c r="Y6" s="126"/>
      <c r="Z6" s="126"/>
      <c r="AA6" s="126"/>
      <c r="AB6" s="126"/>
      <c r="AC6" s="126"/>
      <c r="AD6" s="126"/>
    </row>
    <row r="7" ht="21.0" customHeight="1">
      <c r="W7" s="126"/>
      <c r="X7" s="126"/>
      <c r="Y7" s="126"/>
      <c r="Z7" s="126"/>
      <c r="AA7" s="126"/>
      <c r="AB7" s="126"/>
      <c r="AC7" s="126"/>
      <c r="AD7" s="126"/>
    </row>
    <row r="8" ht="21.0" customHeight="1">
      <c r="W8" s="126"/>
      <c r="X8" s="126"/>
      <c r="Y8" s="126"/>
      <c r="Z8" s="126"/>
      <c r="AA8" s="126"/>
      <c r="AB8" s="126"/>
      <c r="AC8" s="126"/>
      <c r="AD8" s="126"/>
    </row>
    <row r="9">
      <c r="W9" s="126"/>
      <c r="X9" s="126"/>
      <c r="Y9" s="126"/>
      <c r="Z9" s="126"/>
      <c r="AA9" s="126"/>
      <c r="AB9" s="126"/>
      <c r="AC9" s="126"/>
      <c r="AD9" s="126"/>
    </row>
    <row r="10">
      <c r="W10" s="126"/>
      <c r="X10" s="126"/>
      <c r="Y10" s="126"/>
      <c r="Z10" s="126"/>
      <c r="AA10" s="126"/>
      <c r="AB10" s="126"/>
      <c r="AC10" s="126"/>
      <c r="AD10" s="126"/>
    </row>
    <row r="11">
      <c r="W11" s="126"/>
      <c r="X11" s="126"/>
      <c r="Y11" s="126"/>
      <c r="Z11" s="126"/>
      <c r="AA11" s="126"/>
      <c r="AB11" s="126"/>
      <c r="AC11" s="126"/>
      <c r="AD11" s="126"/>
    </row>
    <row r="12">
      <c r="W12" s="126"/>
      <c r="X12" s="126"/>
      <c r="Y12" s="126"/>
      <c r="Z12" s="126"/>
      <c r="AA12" s="126"/>
      <c r="AB12" s="126"/>
      <c r="AC12" s="126"/>
      <c r="AD12" s="126"/>
    </row>
    <row r="13">
      <c r="W13" s="126"/>
      <c r="X13" s="126"/>
      <c r="Y13" s="126"/>
      <c r="Z13" s="126"/>
      <c r="AA13" s="126"/>
      <c r="AB13" s="126"/>
      <c r="AC13" s="126"/>
      <c r="AD13" s="126"/>
    </row>
    <row r="14">
      <c r="W14" s="126"/>
      <c r="X14" s="126"/>
      <c r="Y14" s="126"/>
      <c r="Z14" s="126"/>
      <c r="AA14" s="126"/>
      <c r="AB14" s="126"/>
      <c r="AC14" s="126"/>
      <c r="AD14" s="126"/>
    </row>
    <row r="15">
      <c r="W15" s="126"/>
      <c r="X15" s="126"/>
      <c r="Y15" s="126"/>
      <c r="Z15" s="126"/>
      <c r="AA15" s="126"/>
      <c r="AB15" s="126"/>
      <c r="AC15" s="126"/>
      <c r="AD15" s="126"/>
    </row>
    <row r="16">
      <c r="W16" s="126"/>
      <c r="X16" s="126"/>
      <c r="Y16" s="126"/>
      <c r="Z16" s="126"/>
      <c r="AA16" s="126"/>
      <c r="AB16" s="126"/>
      <c r="AC16" s="126"/>
      <c r="AD16" s="126"/>
    </row>
    <row r="17">
      <c r="W17" s="126"/>
      <c r="X17" s="126"/>
      <c r="Y17" s="126"/>
      <c r="Z17" s="126"/>
      <c r="AA17" s="126"/>
      <c r="AB17" s="126"/>
      <c r="AC17" s="126"/>
      <c r="AD17" s="126"/>
    </row>
    <row r="18">
      <c r="W18" s="126"/>
      <c r="X18" s="126"/>
      <c r="Y18" s="126"/>
      <c r="Z18" s="126"/>
      <c r="AA18" s="126"/>
      <c r="AB18" s="126"/>
      <c r="AC18" s="126"/>
      <c r="AD18" s="126"/>
    </row>
    <row r="19">
      <c r="W19" s="126"/>
      <c r="X19" s="126"/>
      <c r="Y19" s="126"/>
      <c r="Z19" s="126"/>
      <c r="AA19" s="126"/>
      <c r="AB19" s="126"/>
      <c r="AC19" s="126"/>
      <c r="AD19" s="126"/>
    </row>
    <row r="20" ht="21.0" customHeight="1">
      <c r="W20" s="126"/>
      <c r="X20" s="126"/>
      <c r="Y20" s="126"/>
      <c r="Z20" s="126"/>
      <c r="AA20" s="126"/>
      <c r="AB20" s="126"/>
      <c r="AC20" s="126"/>
      <c r="AD20" s="126"/>
    </row>
    <row r="21" ht="15.75" customHeight="1">
      <c r="W21" s="126"/>
      <c r="X21" s="126"/>
      <c r="Y21" s="126"/>
      <c r="Z21" s="126"/>
      <c r="AA21" s="126"/>
      <c r="AB21" s="126"/>
      <c r="AC21" s="126"/>
      <c r="AD21" s="126"/>
    </row>
    <row r="22" ht="21.0" customHeight="1">
      <c r="W22" s="126"/>
      <c r="X22" s="126"/>
      <c r="Y22" s="126"/>
      <c r="Z22" s="126"/>
      <c r="AA22" s="126"/>
      <c r="AB22" s="126"/>
      <c r="AC22" s="126"/>
      <c r="AD22" s="126"/>
    </row>
    <row r="23" ht="21.0" customHeight="1">
      <c r="W23" s="126"/>
      <c r="X23" s="126"/>
      <c r="Y23" s="126"/>
      <c r="Z23" s="126"/>
      <c r="AA23" s="126"/>
      <c r="AB23" s="126"/>
      <c r="AC23" s="126"/>
      <c r="AD23" s="126"/>
    </row>
    <row r="24" ht="21.0" customHeight="1">
      <c r="W24" s="126"/>
      <c r="X24" s="126"/>
      <c r="Y24" s="126"/>
      <c r="Z24" s="126"/>
      <c r="AA24" s="126"/>
      <c r="AB24" s="126"/>
      <c r="AC24" s="126"/>
      <c r="AD24" s="126"/>
    </row>
    <row r="25" ht="15.75" customHeight="1">
      <c r="W25" s="126"/>
      <c r="X25" s="126"/>
      <c r="Y25" s="126"/>
      <c r="Z25" s="126"/>
      <c r="AA25" s="126"/>
      <c r="AB25" s="126"/>
      <c r="AC25" s="126"/>
      <c r="AD25" s="126"/>
    </row>
    <row r="26" ht="15.75" customHeight="1">
      <c r="W26" s="126"/>
      <c r="X26" s="126"/>
      <c r="Y26" s="126"/>
      <c r="Z26" s="126"/>
      <c r="AA26" s="126"/>
      <c r="AB26" s="126"/>
      <c r="AC26" s="126"/>
      <c r="AD26" s="126"/>
    </row>
    <row r="27" ht="21.0" customHeight="1">
      <c r="W27" s="126"/>
      <c r="X27" s="126"/>
      <c r="Y27" s="126"/>
      <c r="Z27" s="126"/>
      <c r="AA27" s="126"/>
      <c r="AB27" s="126"/>
      <c r="AC27" s="126"/>
      <c r="AD27" s="126"/>
    </row>
    <row r="28" ht="15.0" customHeight="1">
      <c r="W28" s="126"/>
      <c r="X28" s="126"/>
      <c r="Y28" s="126"/>
      <c r="Z28" s="126"/>
      <c r="AA28" s="126"/>
      <c r="AB28" s="126"/>
      <c r="AC28" s="126"/>
      <c r="AD28" s="126"/>
    </row>
    <row r="29" ht="21.0" customHeight="1">
      <c r="W29" s="126"/>
      <c r="X29" s="126"/>
      <c r="Y29" s="126"/>
      <c r="Z29" s="126"/>
      <c r="AA29" s="126"/>
      <c r="AB29" s="126"/>
      <c r="AC29" s="126"/>
      <c r="AD29" s="126"/>
    </row>
    <row r="30" ht="15.75" customHeight="1">
      <c r="W30" s="126"/>
      <c r="X30" s="126"/>
      <c r="Y30" s="126"/>
      <c r="Z30" s="126"/>
      <c r="AA30" s="126"/>
      <c r="AB30" s="126"/>
      <c r="AC30" s="126"/>
      <c r="AD30" s="126"/>
    </row>
    <row r="31" ht="15.75" customHeight="1">
      <c r="W31" s="126"/>
      <c r="X31" s="126"/>
      <c r="Y31" s="126"/>
      <c r="Z31" s="126"/>
      <c r="AA31" s="126"/>
      <c r="AB31" s="126"/>
      <c r="AC31" s="126"/>
      <c r="AD31" s="126"/>
    </row>
    <row r="32" ht="15.75" customHeight="1">
      <c r="W32" s="126"/>
      <c r="X32" s="126"/>
      <c r="Y32" s="126"/>
      <c r="Z32" s="126"/>
      <c r="AA32" s="126"/>
      <c r="AB32" s="126"/>
      <c r="AC32" s="126"/>
      <c r="AD32" s="126"/>
    </row>
    <row r="33" ht="15.75" customHeight="1">
      <c r="W33" s="126"/>
      <c r="X33" s="126"/>
      <c r="Y33" s="126"/>
      <c r="Z33" s="126"/>
      <c r="AA33" s="126"/>
      <c r="AB33" s="126"/>
      <c r="AC33" s="126"/>
      <c r="AD33" s="126"/>
    </row>
    <row r="34" ht="15.75" customHeight="1">
      <c r="W34" s="126"/>
      <c r="X34" s="126"/>
      <c r="Y34" s="126"/>
      <c r="Z34" s="126"/>
      <c r="AA34" s="126"/>
      <c r="AB34" s="126"/>
      <c r="AC34" s="126"/>
      <c r="AD34" s="126"/>
    </row>
    <row r="35" ht="15.75" customHeight="1">
      <c r="W35" s="126"/>
      <c r="X35" s="126"/>
      <c r="Y35" s="126"/>
      <c r="Z35" s="126"/>
      <c r="AA35" s="126"/>
      <c r="AB35" s="126"/>
      <c r="AC35" s="126"/>
      <c r="AD35" s="126"/>
    </row>
    <row r="36" ht="15.75" customHeight="1">
      <c r="W36" s="126"/>
      <c r="X36" s="126"/>
      <c r="Y36" s="126"/>
      <c r="Z36" s="126"/>
      <c r="AA36" s="126"/>
      <c r="AB36" s="126"/>
      <c r="AC36" s="126"/>
      <c r="AD36" s="126"/>
    </row>
    <row r="37" ht="15.75" customHeight="1">
      <c r="B37" s="126"/>
    </row>
    <row r="38" ht="15.75" customHeight="1">
      <c r="B38" s="126"/>
    </row>
    <row r="39" ht="15.75" customHeight="1">
      <c r="B39" s="126"/>
    </row>
    <row r="40" ht="15.75" customHeight="1">
      <c r="B40" s="126"/>
    </row>
    <row r="41" ht="15.75" customHeight="1">
      <c r="B41" s="126"/>
    </row>
    <row r="42" ht="15.75" customHeight="1">
      <c r="B42" s="126"/>
    </row>
    <row r="43" ht="15.75" customHeight="1">
      <c r="B43" s="126"/>
    </row>
    <row r="44" ht="15.75" customHeight="1">
      <c r="B44" s="128"/>
      <c r="C44" s="128"/>
      <c r="D44" s="128"/>
      <c r="E44" s="128"/>
      <c r="F44" s="128"/>
      <c r="G44" s="128"/>
      <c r="H44" s="128"/>
      <c r="I44" s="128"/>
      <c r="J44" s="128"/>
      <c r="K44" s="128"/>
    </row>
    <row r="45" ht="15.75" customHeight="1">
      <c r="B45" s="128"/>
      <c r="C45" s="128"/>
      <c r="D45" s="128"/>
      <c r="E45" s="128"/>
      <c r="F45" s="128"/>
      <c r="G45" s="128"/>
      <c r="H45" s="128"/>
      <c r="I45" s="128"/>
      <c r="J45" s="128"/>
      <c r="K45" s="128"/>
    </row>
    <row r="46" ht="15.75" customHeight="1">
      <c r="B46" s="126"/>
    </row>
    <row r="47" ht="15.75" customHeight="1">
      <c r="B47" s="126"/>
    </row>
    <row r="48" ht="15.75" customHeight="1">
      <c r="B48" s="126"/>
    </row>
    <row r="49" ht="15.75" customHeight="1">
      <c r="B49" s="126"/>
    </row>
    <row r="50" ht="15.75" customHeight="1">
      <c r="B50" s="126"/>
    </row>
    <row r="51" ht="15.75" customHeight="1">
      <c r="B51" s="126"/>
    </row>
    <row r="52" ht="15.75" customHeight="1">
      <c r="B52" s="126"/>
    </row>
    <row r="53" ht="15.75" customHeight="1">
      <c r="B53" s="126"/>
    </row>
    <row r="54" ht="15.75" customHeight="1">
      <c r="B54" s="126"/>
    </row>
    <row r="55" ht="15.75" customHeight="1">
      <c r="B55" s="126"/>
    </row>
    <row r="56" ht="15.75" customHeight="1">
      <c r="B56" s="126"/>
    </row>
    <row r="57" ht="15.75" customHeight="1">
      <c r="B57" s="126"/>
    </row>
    <row r="58" ht="15.75" customHeight="1">
      <c r="B58" s="126"/>
    </row>
    <row r="59" ht="15.75" customHeight="1">
      <c r="B59" s="126"/>
    </row>
    <row r="60" ht="15.75" customHeight="1">
      <c r="B60" s="126"/>
    </row>
    <row r="61" ht="15.75" customHeight="1">
      <c r="B61" s="126"/>
    </row>
    <row r="62" ht="15.75" customHeight="1">
      <c r="B62" s="126"/>
    </row>
    <row r="63" ht="15.75" customHeight="1">
      <c r="B63" s="126"/>
    </row>
    <row r="64" ht="15.75" customHeight="1">
      <c r="B64" s="126"/>
    </row>
    <row r="65" ht="15.75" customHeight="1">
      <c r="B65" s="126"/>
    </row>
    <row r="66" ht="15.75" customHeight="1">
      <c r="B66" s="126"/>
    </row>
    <row r="67" ht="15.75" customHeight="1">
      <c r="B67" s="126"/>
    </row>
    <row r="68" ht="15.75" customHeight="1">
      <c r="B68" s="126"/>
    </row>
    <row r="69" ht="15.75" customHeight="1">
      <c r="B69" s="126"/>
    </row>
    <row r="70" ht="15.75" customHeight="1">
      <c r="B70" s="126"/>
    </row>
    <row r="71" ht="15.75" customHeight="1">
      <c r="B71" s="126"/>
    </row>
    <row r="72" ht="15.75" customHeight="1">
      <c r="B72" s="126"/>
    </row>
    <row r="73" ht="15.75" customHeight="1">
      <c r="B73" s="126"/>
    </row>
    <row r="74" ht="15.75" customHeight="1">
      <c r="B74" s="126"/>
    </row>
    <row r="75" ht="15.75" customHeight="1">
      <c r="B75" s="126"/>
    </row>
    <row r="76" ht="15.75" customHeight="1">
      <c r="B76" s="126"/>
    </row>
    <row r="77" ht="15.75" customHeight="1">
      <c r="B77" s="126"/>
    </row>
    <row r="78" ht="15.75" customHeight="1">
      <c r="B78" s="126"/>
    </row>
    <row r="79" ht="15.75" customHeight="1">
      <c r="B79" s="126"/>
    </row>
    <row r="80" ht="15.75" customHeight="1">
      <c r="B80" s="126"/>
    </row>
    <row r="81" ht="15.75" customHeight="1">
      <c r="B81" s="126"/>
    </row>
    <row r="82" ht="15.75" customHeight="1">
      <c r="B82" s="126"/>
    </row>
    <row r="83" ht="15.75" customHeight="1">
      <c r="B83" s="126"/>
    </row>
    <row r="84" ht="15.75" customHeight="1">
      <c r="B84" s="126"/>
    </row>
    <row r="85" ht="15.75" customHeight="1">
      <c r="B85" s="126"/>
    </row>
    <row r="86" ht="15.75" customHeight="1">
      <c r="B86" s="126"/>
    </row>
    <row r="87" ht="15.75" customHeight="1">
      <c r="B87" s="126"/>
    </row>
    <row r="88" ht="15.75" customHeight="1">
      <c r="B88" s="126"/>
    </row>
    <row r="89" ht="15.75" customHeight="1">
      <c r="B89" s="126"/>
    </row>
    <row r="90" ht="15.75" customHeight="1">
      <c r="B90" s="126"/>
    </row>
    <row r="91" ht="15.75" customHeight="1">
      <c r="B91" s="126"/>
    </row>
    <row r="92" ht="15.75" customHeight="1">
      <c r="B92" s="126"/>
    </row>
    <row r="93" ht="15.75" customHeight="1">
      <c r="B93" s="126"/>
    </row>
    <row r="94" ht="15.75" customHeight="1">
      <c r="B94" s="126"/>
    </row>
    <row r="95" ht="15.75" customHeight="1">
      <c r="B95" s="126"/>
    </row>
    <row r="96" ht="15.75" customHeight="1">
      <c r="B96" s="126"/>
    </row>
    <row r="97" ht="15.75" customHeight="1">
      <c r="B97" s="126"/>
    </row>
    <row r="98" ht="15.75" customHeight="1">
      <c r="B98" s="126"/>
    </row>
    <row r="99" ht="15.75" customHeight="1">
      <c r="B99" s="126"/>
    </row>
    <row r="100" ht="15.75" customHeight="1">
      <c r="B100" s="126"/>
    </row>
    <row r="101" ht="15.75" customHeight="1">
      <c r="B101" s="126"/>
    </row>
    <row r="102" ht="15.75" customHeight="1">
      <c r="B102" s="126"/>
    </row>
    <row r="103" ht="15.75" customHeight="1">
      <c r="B103" s="126"/>
    </row>
    <row r="104" ht="15.75" customHeight="1">
      <c r="B104" s="126"/>
    </row>
    <row r="105" ht="15.75" customHeight="1">
      <c r="B105" s="126"/>
    </row>
    <row r="106" ht="15.75" customHeight="1">
      <c r="B106" s="126"/>
    </row>
    <row r="107" ht="15.75" customHeight="1">
      <c r="B107" s="126"/>
    </row>
    <row r="108" ht="15.75" customHeight="1">
      <c r="B108" s="126"/>
    </row>
    <row r="109" ht="15.75" customHeight="1">
      <c r="B109" s="126"/>
    </row>
    <row r="110" ht="15.75" customHeight="1">
      <c r="B110" s="126"/>
    </row>
    <row r="111" ht="15.75" customHeight="1">
      <c r="B111" s="126"/>
    </row>
    <row r="112" ht="15.75" customHeight="1">
      <c r="B112" s="126"/>
    </row>
    <row r="113" ht="15.75" customHeight="1">
      <c r="B113" s="126"/>
    </row>
    <row r="114" ht="15.75" customHeight="1">
      <c r="B114" s="126"/>
    </row>
    <row r="115" ht="15.75" customHeight="1">
      <c r="B115" s="126"/>
    </row>
    <row r="116" ht="15.75" customHeight="1">
      <c r="B116" s="126"/>
    </row>
    <row r="117" ht="15.75" customHeight="1">
      <c r="B117" s="126"/>
    </row>
    <row r="118" ht="15.75" customHeight="1">
      <c r="B118" s="126"/>
    </row>
    <row r="119" ht="15.75" customHeight="1">
      <c r="B119" s="126"/>
    </row>
    <row r="120" ht="15.75" customHeight="1">
      <c r="B120" s="126"/>
    </row>
    <row r="121" ht="15.75" customHeight="1">
      <c r="B121" s="126"/>
    </row>
    <row r="122" ht="15.75" customHeight="1">
      <c r="B122" s="126"/>
    </row>
    <row r="123" ht="15.75" customHeight="1">
      <c r="B123" s="126"/>
    </row>
    <row r="124" ht="15.75" customHeight="1">
      <c r="B124" s="126"/>
    </row>
    <row r="125" ht="15.75" customHeight="1">
      <c r="B125" s="126"/>
    </row>
    <row r="126" ht="15.75" customHeight="1">
      <c r="B126" s="126"/>
    </row>
    <row r="127" ht="15.75" customHeight="1">
      <c r="B127" s="126"/>
    </row>
    <row r="128" ht="15.75" customHeight="1">
      <c r="B128" s="126"/>
    </row>
    <row r="129" ht="15.75" customHeight="1">
      <c r="B129" s="126"/>
    </row>
    <row r="130" ht="15.75" customHeight="1">
      <c r="B130" s="126"/>
    </row>
    <row r="131" ht="15.75" customHeight="1">
      <c r="B131" s="126"/>
    </row>
    <row r="132" ht="15.75" customHeight="1">
      <c r="B132" s="126"/>
    </row>
    <row r="133" ht="15.75" customHeight="1">
      <c r="B133" s="126"/>
    </row>
    <row r="134" ht="15.75" customHeight="1">
      <c r="B134" s="126"/>
    </row>
    <row r="135" ht="15.75" customHeight="1">
      <c r="B135" s="126"/>
    </row>
    <row r="136" ht="15.75" customHeight="1">
      <c r="B136" s="126"/>
    </row>
    <row r="137" ht="15.75" customHeight="1">
      <c r="B137" s="126"/>
    </row>
    <row r="138" ht="15.75" customHeight="1">
      <c r="B138" s="126"/>
    </row>
    <row r="139" ht="15.75" customHeight="1">
      <c r="B139" s="126"/>
    </row>
    <row r="140" ht="15.75" customHeight="1">
      <c r="B140" s="126"/>
    </row>
    <row r="141" ht="15.75" customHeight="1">
      <c r="B141" s="126"/>
    </row>
    <row r="142" ht="15.75" customHeight="1">
      <c r="B142" s="126"/>
    </row>
    <row r="143" ht="15.75" customHeight="1">
      <c r="B143" s="126"/>
    </row>
    <row r="144" ht="15.75" customHeight="1">
      <c r="B144" s="126"/>
    </row>
    <row r="145" ht="15.75" customHeight="1">
      <c r="B145" s="126"/>
    </row>
    <row r="146" ht="15.75" customHeight="1">
      <c r="B146" s="126"/>
    </row>
    <row r="147" ht="15.75" customHeight="1">
      <c r="B147" s="126"/>
    </row>
    <row r="148" ht="15.75" customHeight="1">
      <c r="B148" s="126"/>
    </row>
    <row r="149" ht="15.75" customHeight="1">
      <c r="B149" s="126"/>
    </row>
    <row r="150" ht="15.75" customHeight="1">
      <c r="B150" s="126"/>
    </row>
    <row r="151" ht="15.75" customHeight="1">
      <c r="B151" s="126"/>
    </row>
    <row r="152" ht="15.75" customHeight="1">
      <c r="B152" s="126"/>
    </row>
    <row r="153" ht="15.75" customHeight="1">
      <c r="B153" s="126"/>
    </row>
    <row r="154" ht="15.75" customHeight="1">
      <c r="B154" s="126"/>
    </row>
    <row r="155" ht="15.75" customHeight="1">
      <c r="B155" s="126"/>
    </row>
    <row r="156" ht="15.75" customHeight="1">
      <c r="B156" s="126"/>
    </row>
    <row r="157" ht="15.75" customHeight="1">
      <c r="B157" s="126"/>
    </row>
    <row r="158" ht="15.75" customHeight="1">
      <c r="B158" s="126"/>
    </row>
    <row r="159" ht="15.75" customHeight="1">
      <c r="B159" s="126"/>
    </row>
    <row r="160" ht="15.75" customHeight="1">
      <c r="B160" s="126"/>
    </row>
    <row r="161" ht="15.75" customHeight="1">
      <c r="B161" s="126"/>
    </row>
    <row r="162" ht="15.75" customHeight="1">
      <c r="B162" s="126"/>
    </row>
    <row r="163" ht="15.75" customHeight="1">
      <c r="B163" s="126"/>
    </row>
    <row r="164" ht="15.75" customHeight="1">
      <c r="B164" s="126"/>
    </row>
    <row r="165" ht="15.75" customHeight="1">
      <c r="B165" s="126"/>
    </row>
    <row r="166" ht="15.75" customHeight="1">
      <c r="B166" s="126"/>
    </row>
    <row r="167" ht="15.75" customHeight="1">
      <c r="B167" s="126"/>
    </row>
    <row r="168" ht="15.75" customHeight="1">
      <c r="B168" s="126"/>
    </row>
    <row r="169" ht="15.75" customHeight="1">
      <c r="B169" s="126"/>
    </row>
    <row r="170" ht="15.75" customHeight="1">
      <c r="B170" s="126"/>
    </row>
    <row r="171" ht="15.75" customHeight="1">
      <c r="B171" s="126"/>
    </row>
    <row r="172" ht="15.75" customHeight="1">
      <c r="B172" s="126"/>
    </row>
    <row r="173" ht="15.75" customHeight="1">
      <c r="B173" s="126"/>
    </row>
    <row r="174" ht="15.75" customHeight="1">
      <c r="B174" s="126"/>
    </row>
    <row r="175" ht="15.75" customHeight="1">
      <c r="B175" s="126"/>
    </row>
    <row r="176" ht="15.75" customHeight="1">
      <c r="B176" s="126"/>
    </row>
    <row r="177" ht="15.75" customHeight="1">
      <c r="B177" s="126"/>
    </row>
    <row r="178" ht="15.75" customHeight="1">
      <c r="B178" s="126"/>
    </row>
    <row r="179" ht="15.75" customHeight="1">
      <c r="B179" s="126"/>
    </row>
    <row r="180" ht="15.75" customHeight="1">
      <c r="B180" s="126"/>
    </row>
    <row r="181" ht="15.75" customHeight="1">
      <c r="B181" s="126"/>
    </row>
    <row r="182" ht="15.75" customHeight="1">
      <c r="B182" s="126"/>
    </row>
    <row r="183" ht="15.75" customHeight="1">
      <c r="B183" s="126"/>
    </row>
    <row r="184" ht="15.75" customHeight="1">
      <c r="B184" s="126"/>
    </row>
    <row r="185" ht="15.75" customHeight="1">
      <c r="B185" s="126"/>
    </row>
    <row r="186" ht="15.75" customHeight="1">
      <c r="B186" s="126"/>
    </row>
    <row r="187" ht="15.75" customHeight="1">
      <c r="B187" s="126"/>
    </row>
    <row r="188" ht="15.75" customHeight="1">
      <c r="B188" s="126"/>
    </row>
    <row r="189" ht="15.75" customHeight="1">
      <c r="B189" s="126"/>
    </row>
    <row r="190" ht="15.75" customHeight="1">
      <c r="B190" s="126"/>
    </row>
    <row r="191" ht="15.75" customHeight="1">
      <c r="B191" s="126"/>
    </row>
    <row r="192" ht="15.75" customHeight="1">
      <c r="B192" s="126"/>
    </row>
    <row r="193" ht="15.75" customHeight="1">
      <c r="B193" s="126"/>
    </row>
    <row r="194" ht="15.75" customHeight="1">
      <c r="B194" s="126"/>
    </row>
    <row r="195" ht="15.75" customHeight="1">
      <c r="B195" s="126"/>
    </row>
    <row r="196" ht="15.75" customHeight="1">
      <c r="B196" s="126"/>
    </row>
    <row r="197" ht="15.75" customHeight="1">
      <c r="B197" s="126"/>
    </row>
    <row r="198" ht="15.75" customHeight="1">
      <c r="B198" s="126"/>
    </row>
    <row r="199" ht="15.75" customHeight="1">
      <c r="B199" s="126"/>
    </row>
    <row r="200" ht="15.75" customHeight="1">
      <c r="B200" s="126"/>
    </row>
    <row r="201" ht="15.75" customHeight="1">
      <c r="B201" s="126"/>
    </row>
    <row r="202" ht="15.75" customHeight="1">
      <c r="B202" s="126"/>
    </row>
    <row r="203" ht="15.75" customHeight="1">
      <c r="B203" s="126"/>
    </row>
    <row r="204" ht="15.75" customHeight="1">
      <c r="B204" s="126"/>
    </row>
    <row r="205" ht="15.75" customHeight="1">
      <c r="B205" s="126"/>
    </row>
    <row r="206" ht="15.75" customHeight="1">
      <c r="B206" s="126"/>
    </row>
    <row r="207" ht="15.75" customHeight="1">
      <c r="B207" s="126"/>
    </row>
    <row r="208" ht="15.75" customHeight="1">
      <c r="B208" s="126"/>
    </row>
    <row r="209" ht="15.75" customHeight="1">
      <c r="B209" s="126"/>
    </row>
    <row r="210" ht="15.75" customHeight="1">
      <c r="B210" s="126"/>
    </row>
    <row r="211" ht="15.75" customHeight="1">
      <c r="B211" s="126"/>
    </row>
    <row r="212" ht="15.75" customHeight="1">
      <c r="B212" s="126"/>
    </row>
    <row r="213" ht="15.75" customHeight="1">
      <c r="B213" s="126"/>
    </row>
    <row r="214" ht="15.75" customHeight="1">
      <c r="B214" s="126"/>
    </row>
    <row r="215" ht="15.75" customHeight="1">
      <c r="B215" s="126"/>
    </row>
    <row r="216" ht="15.75" customHeight="1">
      <c r="B216" s="126"/>
    </row>
    <row r="217" ht="15.75" customHeight="1">
      <c r="B217" s="126"/>
    </row>
    <row r="218" ht="15.75" customHeight="1">
      <c r="B218" s="126"/>
    </row>
    <row r="219" ht="15.75" customHeight="1">
      <c r="B219" s="126"/>
    </row>
    <row r="220" ht="15.75" customHeight="1">
      <c r="B220" s="126"/>
    </row>
    <row r="221" ht="15.75" customHeight="1">
      <c r="B221" s="126"/>
    </row>
    <row r="222" ht="15.75" customHeight="1">
      <c r="B222" s="126"/>
    </row>
    <row r="223" ht="15.75" customHeight="1">
      <c r="B223" s="126"/>
    </row>
    <row r="224" ht="15.75" customHeight="1">
      <c r="B224" s="126"/>
    </row>
    <row r="225" ht="15.75" customHeight="1">
      <c r="B225" s="126"/>
    </row>
    <row r="226" ht="15.75" customHeight="1">
      <c r="B226" s="126"/>
    </row>
    <row r="227" ht="15.75" customHeight="1">
      <c r="B227" s="126"/>
    </row>
    <row r="228" ht="15.75" customHeight="1">
      <c r="B228" s="126"/>
    </row>
    <row r="229" ht="15.75" customHeight="1">
      <c r="B229" s="126"/>
    </row>
    <row r="230" ht="15.75" customHeight="1">
      <c r="B230" s="126"/>
    </row>
    <row r="231" ht="15.75" customHeight="1">
      <c r="B231" s="126"/>
    </row>
    <row r="232" ht="15.75" customHeight="1">
      <c r="B232" s="126"/>
    </row>
    <row r="233" ht="15.75" customHeight="1">
      <c r="B233" s="126"/>
    </row>
    <row r="234" ht="15.75" customHeight="1">
      <c r="B234" s="126"/>
    </row>
    <row r="235" ht="15.75" customHeight="1">
      <c r="B235" s="126"/>
    </row>
    <row r="236" ht="15.75" customHeight="1">
      <c r="B236" s="126"/>
    </row>
    <row r="237" ht="15.75" customHeight="1">
      <c r="B237" s="126"/>
    </row>
    <row r="238" ht="15.75" customHeight="1">
      <c r="B238" s="126"/>
    </row>
    <row r="239" ht="15.75" customHeight="1">
      <c r="B239" s="126"/>
    </row>
    <row r="240" ht="15.75" customHeight="1">
      <c r="B240" s="126"/>
    </row>
    <row r="241" ht="15.75" customHeight="1">
      <c r="B241" s="126"/>
    </row>
    <row r="242" ht="15.75" customHeight="1">
      <c r="B242" s="126"/>
    </row>
    <row r="243" ht="15.75" customHeight="1">
      <c r="B243" s="126"/>
    </row>
    <row r="244" ht="15.75" customHeight="1">
      <c r="B244" s="126"/>
    </row>
    <row r="245" ht="15.75" customHeight="1">
      <c r="B245" s="126"/>
    </row>
    <row r="246" ht="15.75" customHeight="1">
      <c r="B246" s="126"/>
    </row>
    <row r="247" ht="15.75" customHeight="1">
      <c r="B247" s="126"/>
    </row>
    <row r="248" ht="15.75" customHeight="1">
      <c r="B248" s="126"/>
    </row>
    <row r="249" ht="15.75" customHeight="1">
      <c r="B249" s="126"/>
    </row>
    <row r="250" ht="15.75" customHeight="1">
      <c r="B250" s="126"/>
    </row>
    <row r="251" ht="15.75" customHeight="1">
      <c r="B251" s="126"/>
    </row>
    <row r="252" ht="15.75" customHeight="1">
      <c r="B252" s="126"/>
    </row>
    <row r="253" ht="15.75" customHeight="1">
      <c r="B253" s="126"/>
    </row>
    <row r="254" ht="15.75" customHeight="1">
      <c r="B254" s="126"/>
    </row>
    <row r="255" ht="15.75" customHeight="1">
      <c r="B255" s="126"/>
    </row>
    <row r="256" ht="15.75" customHeight="1">
      <c r="B256" s="126"/>
    </row>
    <row r="257" ht="15.75" customHeight="1">
      <c r="B257" s="126"/>
    </row>
    <row r="258" ht="15.75" customHeight="1">
      <c r="B258" s="126"/>
    </row>
    <row r="259" ht="15.75" customHeight="1">
      <c r="B259" s="126"/>
    </row>
    <row r="260" ht="15.75" customHeight="1">
      <c r="B260" s="126"/>
    </row>
    <row r="261" ht="15.75" customHeight="1">
      <c r="B261" s="126"/>
    </row>
    <row r="262" ht="15.75" customHeight="1">
      <c r="B262" s="126"/>
    </row>
    <row r="263" ht="15.75" customHeight="1">
      <c r="B263" s="126"/>
    </row>
    <row r="264" ht="15.75" customHeight="1">
      <c r="B264" s="126"/>
    </row>
    <row r="265" ht="15.75" customHeight="1">
      <c r="B265" s="126"/>
    </row>
    <row r="266" ht="15.75" customHeight="1">
      <c r="B266" s="126"/>
    </row>
    <row r="267" ht="15.75" customHeight="1">
      <c r="B267" s="126"/>
    </row>
    <row r="268" ht="15.75" customHeight="1">
      <c r="B268" s="126"/>
    </row>
    <row r="269" ht="15.75" customHeight="1">
      <c r="B269" s="126"/>
    </row>
    <row r="270" ht="15.75" customHeight="1">
      <c r="B270" s="126"/>
    </row>
    <row r="271" ht="15.75" customHeight="1">
      <c r="B271" s="126"/>
    </row>
    <row r="272" ht="15.75" customHeight="1">
      <c r="B272" s="126"/>
    </row>
    <row r="273" ht="15.75" customHeight="1">
      <c r="B273" s="126"/>
    </row>
    <row r="274" ht="15.75" customHeight="1">
      <c r="B274" s="126"/>
    </row>
    <row r="275" ht="15.75" customHeight="1">
      <c r="B275" s="126"/>
    </row>
    <row r="276" ht="15.75" customHeight="1">
      <c r="B276" s="126"/>
    </row>
    <row r="277" ht="15.75" customHeight="1">
      <c r="B277" s="126"/>
    </row>
    <row r="278" ht="15.75" customHeight="1">
      <c r="B278" s="126"/>
    </row>
    <row r="279" ht="15.75" customHeight="1">
      <c r="B279" s="126"/>
    </row>
    <row r="280" ht="15.75" customHeight="1">
      <c r="B280" s="126"/>
    </row>
    <row r="281" ht="15.75" customHeight="1">
      <c r="B281" s="126"/>
    </row>
    <row r="282" ht="15.75" customHeight="1">
      <c r="B282" s="126"/>
    </row>
    <row r="283" ht="15.75" customHeight="1">
      <c r="B283" s="126"/>
    </row>
    <row r="284" ht="15.75" customHeight="1">
      <c r="B284" s="126"/>
    </row>
    <row r="285" ht="15.75" customHeight="1">
      <c r="B285" s="126"/>
    </row>
    <row r="286" ht="15.75" customHeight="1">
      <c r="B286" s="126"/>
    </row>
    <row r="287" ht="15.75" customHeight="1">
      <c r="B287" s="126"/>
    </row>
    <row r="288" ht="15.75" customHeight="1">
      <c r="B288" s="126"/>
    </row>
    <row r="289" ht="15.75" customHeight="1">
      <c r="B289" s="126"/>
    </row>
    <row r="290" ht="15.75" customHeight="1">
      <c r="B290" s="126"/>
    </row>
    <row r="291" ht="15.75" customHeight="1">
      <c r="B291" s="126"/>
    </row>
    <row r="292" ht="15.75" customHeight="1">
      <c r="B292" s="126"/>
    </row>
    <row r="293" ht="15.75" customHeight="1">
      <c r="B293" s="126"/>
    </row>
    <row r="294" ht="15.75" customHeight="1">
      <c r="B294" s="126"/>
    </row>
    <row r="295" ht="15.75" customHeight="1">
      <c r="B295" s="126"/>
    </row>
    <row r="296" ht="15.75" customHeight="1">
      <c r="B296" s="126"/>
    </row>
    <row r="297" ht="15.75" customHeight="1">
      <c r="B297" s="126"/>
    </row>
    <row r="298" ht="15.75" customHeight="1">
      <c r="B298" s="126"/>
    </row>
    <row r="299" ht="15.75" customHeight="1">
      <c r="B299" s="126"/>
    </row>
    <row r="300" ht="15.75" customHeight="1">
      <c r="B300" s="126"/>
    </row>
    <row r="301" ht="15.75" customHeight="1">
      <c r="B301" s="126"/>
    </row>
    <row r="302" ht="15.75" customHeight="1">
      <c r="B302" s="126"/>
    </row>
    <row r="303" ht="15.75" customHeight="1">
      <c r="B303" s="126"/>
    </row>
    <row r="304" ht="15.75" customHeight="1">
      <c r="B304" s="126"/>
    </row>
    <row r="305" ht="15.75" customHeight="1">
      <c r="B305" s="126"/>
    </row>
    <row r="306" ht="15.75" customHeight="1">
      <c r="B306" s="126"/>
    </row>
    <row r="307" ht="15.75" customHeight="1">
      <c r="B307" s="126"/>
    </row>
    <row r="308" ht="15.75" customHeight="1">
      <c r="B308" s="126"/>
    </row>
    <row r="309" ht="15.75" customHeight="1">
      <c r="B309" s="126"/>
    </row>
    <row r="310" ht="15.75" customHeight="1">
      <c r="B310" s="126"/>
    </row>
    <row r="311" ht="15.75" customHeight="1">
      <c r="B311" s="126"/>
    </row>
    <row r="312" ht="15.75" customHeight="1">
      <c r="B312" s="126"/>
    </row>
    <row r="313" ht="15.75" customHeight="1">
      <c r="B313" s="126"/>
    </row>
    <row r="314" ht="15.75" customHeight="1">
      <c r="B314" s="126"/>
    </row>
    <row r="315" ht="15.75" customHeight="1">
      <c r="B315" s="126"/>
    </row>
    <row r="316" ht="15.75" customHeight="1">
      <c r="B316" s="126"/>
    </row>
    <row r="317" ht="15.75" customHeight="1">
      <c r="B317" s="126"/>
    </row>
    <row r="318" ht="15.75" customHeight="1">
      <c r="B318" s="126"/>
    </row>
    <row r="319" ht="15.75" customHeight="1">
      <c r="B319" s="126"/>
    </row>
    <row r="320" ht="15.75" customHeight="1">
      <c r="B320" s="126"/>
    </row>
    <row r="321" ht="15.75" customHeight="1">
      <c r="B321" s="126"/>
    </row>
    <row r="322" ht="15.75" customHeight="1">
      <c r="B322" s="126"/>
    </row>
    <row r="323" ht="15.75" customHeight="1">
      <c r="B323" s="126"/>
    </row>
    <row r="324" ht="15.75" customHeight="1">
      <c r="B324" s="126"/>
    </row>
    <row r="325" ht="15.75" customHeight="1">
      <c r="B325" s="126"/>
    </row>
    <row r="326" ht="15.75" customHeight="1">
      <c r="B326" s="126"/>
    </row>
    <row r="327" ht="15.75" customHeight="1">
      <c r="B327" s="126"/>
    </row>
    <row r="328" ht="15.75" customHeight="1">
      <c r="B328" s="126"/>
    </row>
    <row r="329" ht="15.75" customHeight="1">
      <c r="B329" s="126"/>
    </row>
    <row r="330" ht="15.75" customHeight="1">
      <c r="B330" s="126"/>
    </row>
    <row r="331" ht="15.75" customHeight="1">
      <c r="B331" s="126"/>
    </row>
    <row r="332" ht="15.75" customHeight="1">
      <c r="B332" s="126"/>
    </row>
    <row r="333" ht="15.75" customHeight="1">
      <c r="B333" s="126"/>
    </row>
    <row r="334" ht="15.75" customHeight="1">
      <c r="B334" s="126"/>
    </row>
    <row r="335" ht="15.75" customHeight="1">
      <c r="B335" s="126"/>
    </row>
    <row r="336" ht="15.75" customHeight="1">
      <c r="B336" s="126"/>
    </row>
    <row r="337" ht="15.75" customHeight="1">
      <c r="B337" s="126"/>
    </row>
    <row r="338" ht="15.75" customHeight="1">
      <c r="B338" s="126"/>
    </row>
    <row r="339" ht="15.75" customHeight="1">
      <c r="B339" s="126"/>
    </row>
    <row r="340" ht="15.75" customHeight="1">
      <c r="B340" s="126"/>
    </row>
    <row r="341" ht="15.75" customHeight="1">
      <c r="B341" s="126"/>
    </row>
    <row r="342" ht="15.75" customHeight="1">
      <c r="B342" s="126"/>
    </row>
    <row r="343" ht="15.75" customHeight="1">
      <c r="B343" s="126"/>
    </row>
    <row r="344" ht="15.75" customHeight="1">
      <c r="B344" s="126"/>
    </row>
    <row r="345" ht="15.75" customHeight="1">
      <c r="B345" s="126"/>
    </row>
    <row r="346" ht="15.75" customHeight="1">
      <c r="B346" s="126"/>
    </row>
    <row r="347" ht="15.75" customHeight="1">
      <c r="B347" s="126"/>
    </row>
    <row r="348" ht="15.75" customHeight="1">
      <c r="B348" s="126"/>
    </row>
    <row r="349" ht="15.75" customHeight="1">
      <c r="B349" s="126"/>
    </row>
    <row r="350" ht="15.75" customHeight="1">
      <c r="B350" s="126"/>
    </row>
    <row r="351" ht="15.75" customHeight="1">
      <c r="B351" s="126"/>
    </row>
    <row r="352" ht="15.75" customHeight="1">
      <c r="B352" s="126"/>
    </row>
    <row r="353" ht="15.75" customHeight="1">
      <c r="B353" s="126"/>
    </row>
    <row r="354" ht="15.75" customHeight="1">
      <c r="B354" s="126"/>
    </row>
    <row r="355" ht="15.75" customHeight="1">
      <c r="B355" s="126"/>
    </row>
    <row r="356" ht="15.75" customHeight="1">
      <c r="B356" s="126"/>
    </row>
    <row r="357" ht="15.75" customHeight="1">
      <c r="B357" s="126"/>
    </row>
    <row r="358" ht="15.75" customHeight="1">
      <c r="B358" s="126"/>
    </row>
    <row r="359" ht="15.75" customHeight="1">
      <c r="B359" s="126"/>
    </row>
    <row r="360" ht="15.75" customHeight="1">
      <c r="B360" s="126"/>
    </row>
    <row r="361" ht="15.75" customHeight="1">
      <c r="B361" s="126"/>
    </row>
    <row r="362" ht="15.75" customHeight="1">
      <c r="B362" s="126"/>
    </row>
    <row r="363" ht="15.75" customHeight="1">
      <c r="B363" s="126"/>
    </row>
    <row r="364" ht="15.75" customHeight="1">
      <c r="B364" s="126"/>
    </row>
    <row r="365" ht="15.75" customHeight="1">
      <c r="B365" s="126"/>
    </row>
    <row r="366" ht="15.75" customHeight="1">
      <c r="B366" s="126"/>
    </row>
    <row r="367" ht="15.75" customHeight="1">
      <c r="B367" s="126"/>
    </row>
    <row r="368" ht="15.75" customHeight="1">
      <c r="B368" s="126"/>
    </row>
    <row r="369" ht="15.75" customHeight="1">
      <c r="B369" s="126"/>
    </row>
    <row r="370" ht="15.75" customHeight="1">
      <c r="B370" s="126"/>
    </row>
    <row r="371" ht="15.75" customHeight="1">
      <c r="B371" s="126"/>
    </row>
    <row r="372" ht="15.75" customHeight="1">
      <c r="B372" s="126"/>
    </row>
    <row r="373" ht="15.75" customHeight="1">
      <c r="B373" s="126"/>
    </row>
    <row r="374" ht="15.75" customHeight="1">
      <c r="B374" s="126"/>
    </row>
    <row r="375" ht="15.75" customHeight="1">
      <c r="B375" s="126"/>
    </row>
    <row r="376" ht="15.75" customHeight="1">
      <c r="B376" s="126"/>
    </row>
    <row r="377" ht="15.75" customHeight="1">
      <c r="B377" s="126"/>
    </row>
    <row r="378" ht="15.75" customHeight="1">
      <c r="B378" s="126"/>
    </row>
    <row r="379" ht="15.75" customHeight="1">
      <c r="B379" s="126"/>
    </row>
    <row r="380" ht="15.75" customHeight="1">
      <c r="B380" s="126"/>
    </row>
    <row r="381" ht="15.75" customHeight="1">
      <c r="B381" s="126"/>
    </row>
    <row r="382" ht="15.75" customHeight="1">
      <c r="B382" s="126"/>
    </row>
    <row r="383" ht="15.75" customHeight="1">
      <c r="B383" s="126"/>
    </row>
    <row r="384" ht="15.75" customHeight="1">
      <c r="B384" s="126"/>
    </row>
    <row r="385" ht="15.75" customHeight="1">
      <c r="B385" s="126"/>
    </row>
    <row r="386" ht="15.75" customHeight="1">
      <c r="B386" s="126"/>
    </row>
    <row r="387" ht="15.75" customHeight="1">
      <c r="B387" s="126"/>
    </row>
    <row r="388" ht="15.75" customHeight="1">
      <c r="B388" s="126"/>
    </row>
    <row r="389" ht="15.75" customHeight="1">
      <c r="B389" s="126"/>
    </row>
    <row r="390" ht="15.75" customHeight="1">
      <c r="B390" s="126"/>
    </row>
    <row r="391" ht="15.75" customHeight="1">
      <c r="B391" s="126"/>
    </row>
    <row r="392" ht="15.75" customHeight="1">
      <c r="B392" s="126"/>
    </row>
    <row r="393" ht="15.75" customHeight="1">
      <c r="B393" s="126"/>
    </row>
    <row r="394" ht="15.75" customHeight="1">
      <c r="B394" s="126"/>
    </row>
    <row r="395" ht="15.75" customHeight="1">
      <c r="B395" s="126"/>
    </row>
    <row r="396" ht="15.75" customHeight="1">
      <c r="B396" s="126"/>
    </row>
    <row r="397" ht="15.75" customHeight="1">
      <c r="B397" s="126"/>
    </row>
    <row r="398" ht="15.75" customHeight="1">
      <c r="B398" s="126"/>
    </row>
    <row r="399" ht="15.75" customHeight="1">
      <c r="B399" s="126"/>
    </row>
    <row r="400" ht="15.75" customHeight="1">
      <c r="B400" s="126"/>
    </row>
    <row r="401" ht="15.75" customHeight="1">
      <c r="B401" s="126"/>
    </row>
    <row r="402" ht="15.75" customHeight="1">
      <c r="B402" s="126"/>
    </row>
    <row r="403" ht="15.75" customHeight="1">
      <c r="B403" s="126"/>
    </row>
    <row r="404" ht="15.75" customHeight="1">
      <c r="B404" s="126"/>
    </row>
    <row r="405" ht="15.75" customHeight="1">
      <c r="B405" s="126"/>
    </row>
    <row r="406" ht="15.75" customHeight="1">
      <c r="B406" s="126"/>
    </row>
    <row r="407" ht="15.75" customHeight="1">
      <c r="B407" s="126"/>
    </row>
    <row r="408" ht="15.75" customHeight="1">
      <c r="B408" s="126"/>
    </row>
    <row r="409" ht="15.75" customHeight="1">
      <c r="B409" s="126"/>
    </row>
    <row r="410" ht="15.75" customHeight="1">
      <c r="B410" s="126"/>
    </row>
    <row r="411" ht="15.75" customHeight="1">
      <c r="B411" s="126"/>
    </row>
    <row r="412" ht="15.75" customHeight="1">
      <c r="B412" s="126"/>
    </row>
    <row r="413" ht="15.75" customHeight="1">
      <c r="B413" s="126"/>
    </row>
    <row r="414" ht="15.75" customHeight="1">
      <c r="B414" s="126"/>
    </row>
    <row r="415" ht="15.75" customHeight="1">
      <c r="B415" s="126"/>
    </row>
    <row r="416" ht="15.75" customHeight="1">
      <c r="B416" s="126"/>
    </row>
    <row r="417" ht="15.75" customHeight="1">
      <c r="B417" s="126"/>
    </row>
    <row r="418" ht="15.75" customHeight="1">
      <c r="B418" s="126"/>
    </row>
    <row r="419" ht="15.75" customHeight="1">
      <c r="B419" s="126"/>
    </row>
    <row r="420" ht="15.75" customHeight="1">
      <c r="B420" s="126"/>
    </row>
    <row r="421" ht="15.75" customHeight="1">
      <c r="B421" s="126"/>
    </row>
    <row r="422" ht="15.75" customHeight="1">
      <c r="B422" s="126"/>
    </row>
    <row r="423" ht="15.75" customHeight="1">
      <c r="B423" s="126"/>
    </row>
    <row r="424" ht="15.75" customHeight="1">
      <c r="B424" s="126"/>
    </row>
    <row r="425" ht="15.75" customHeight="1">
      <c r="B425" s="126"/>
    </row>
    <row r="426" ht="15.75" customHeight="1">
      <c r="B426" s="126"/>
    </row>
    <row r="427" ht="15.75" customHeight="1">
      <c r="B427" s="126"/>
    </row>
    <row r="428" ht="15.75" customHeight="1">
      <c r="B428" s="126"/>
    </row>
    <row r="429" ht="15.75" customHeight="1">
      <c r="B429" s="126"/>
    </row>
    <row r="430" ht="15.75" customHeight="1">
      <c r="B430" s="126"/>
    </row>
    <row r="431" ht="15.75" customHeight="1">
      <c r="B431" s="126"/>
    </row>
    <row r="432" ht="15.75" customHeight="1">
      <c r="B432" s="126"/>
    </row>
    <row r="433" ht="15.75" customHeight="1">
      <c r="B433" s="126"/>
    </row>
    <row r="434" ht="15.75" customHeight="1">
      <c r="B434" s="126"/>
    </row>
    <row r="435" ht="15.75" customHeight="1">
      <c r="B435" s="126"/>
    </row>
    <row r="436" ht="15.75" customHeight="1">
      <c r="B436" s="126"/>
    </row>
    <row r="437" ht="15.75" customHeight="1">
      <c r="B437" s="126"/>
    </row>
    <row r="438" ht="15.75" customHeight="1">
      <c r="B438" s="126"/>
    </row>
    <row r="439" ht="15.75" customHeight="1">
      <c r="B439" s="126"/>
    </row>
    <row r="440" ht="15.75" customHeight="1">
      <c r="B440" s="126"/>
    </row>
    <row r="441" ht="15.75" customHeight="1">
      <c r="B441" s="126"/>
    </row>
    <row r="442" ht="15.75" customHeight="1">
      <c r="B442" s="126"/>
    </row>
    <row r="443" ht="15.75" customHeight="1">
      <c r="B443" s="126"/>
    </row>
    <row r="444" ht="15.75" customHeight="1">
      <c r="B444" s="126"/>
    </row>
    <row r="445" ht="15.75" customHeight="1">
      <c r="B445" s="126"/>
    </row>
    <row r="446" ht="15.75" customHeight="1">
      <c r="B446" s="126"/>
    </row>
    <row r="447" ht="15.75" customHeight="1">
      <c r="B447" s="126"/>
    </row>
    <row r="448" ht="15.75" customHeight="1">
      <c r="B448" s="126"/>
    </row>
    <row r="449" ht="15.75" customHeight="1">
      <c r="B449" s="126"/>
    </row>
    <row r="450" ht="15.75" customHeight="1">
      <c r="B450" s="126"/>
    </row>
    <row r="451" ht="15.75" customHeight="1">
      <c r="B451" s="126"/>
    </row>
    <row r="452" ht="15.75" customHeight="1">
      <c r="B452" s="126"/>
    </row>
    <row r="453" ht="15.75" customHeight="1">
      <c r="B453" s="126"/>
    </row>
    <row r="454" ht="15.75" customHeight="1">
      <c r="B454" s="126"/>
    </row>
    <row r="455" ht="15.75" customHeight="1">
      <c r="B455" s="126"/>
    </row>
    <row r="456" ht="15.75" customHeight="1">
      <c r="B456" s="126"/>
    </row>
    <row r="457" ht="15.75" customHeight="1">
      <c r="B457" s="126"/>
    </row>
    <row r="458" ht="15.75" customHeight="1">
      <c r="B458" s="126"/>
    </row>
    <row r="459" ht="15.75" customHeight="1">
      <c r="B459" s="126"/>
    </row>
    <row r="460" ht="15.75" customHeight="1">
      <c r="B460" s="126"/>
    </row>
    <row r="461" ht="15.75" customHeight="1">
      <c r="B461" s="126"/>
    </row>
    <row r="462" ht="15.75" customHeight="1">
      <c r="B462" s="126"/>
    </row>
    <row r="463" ht="15.75" customHeight="1">
      <c r="B463" s="126"/>
    </row>
    <row r="464" ht="15.75" customHeight="1">
      <c r="B464" s="126"/>
    </row>
    <row r="465" ht="15.75" customHeight="1">
      <c r="B465" s="126"/>
    </row>
    <row r="466" ht="15.75" customHeight="1">
      <c r="B466" s="126"/>
    </row>
    <row r="467" ht="15.75" customHeight="1">
      <c r="B467" s="126"/>
    </row>
    <row r="468" ht="15.75" customHeight="1">
      <c r="B468" s="126"/>
    </row>
    <row r="469" ht="15.75" customHeight="1">
      <c r="B469" s="126"/>
    </row>
    <row r="470" ht="15.75" customHeight="1">
      <c r="B470" s="126"/>
    </row>
    <row r="471" ht="15.75" customHeight="1">
      <c r="B471" s="126"/>
    </row>
    <row r="472" ht="15.75" customHeight="1">
      <c r="B472" s="126"/>
    </row>
    <row r="473" ht="15.75" customHeight="1">
      <c r="B473" s="126"/>
    </row>
    <row r="474" ht="15.75" customHeight="1">
      <c r="B474" s="126"/>
    </row>
    <row r="475" ht="15.75" customHeight="1">
      <c r="B475" s="126"/>
    </row>
    <row r="476" ht="15.75" customHeight="1">
      <c r="B476" s="126"/>
    </row>
    <row r="477" ht="15.75" customHeight="1">
      <c r="B477" s="126"/>
    </row>
    <row r="478" ht="15.75" customHeight="1">
      <c r="B478" s="126"/>
    </row>
    <row r="479" ht="15.75" customHeight="1">
      <c r="B479" s="126"/>
    </row>
    <row r="480" ht="15.75" customHeight="1">
      <c r="B480" s="126"/>
    </row>
    <row r="481" ht="15.75" customHeight="1">
      <c r="B481" s="126"/>
    </row>
    <row r="482" ht="15.75" customHeight="1">
      <c r="B482" s="126"/>
    </row>
    <row r="483" ht="15.75" customHeight="1">
      <c r="B483" s="126"/>
    </row>
    <row r="484" ht="15.75" customHeight="1">
      <c r="B484" s="126"/>
    </row>
    <row r="485" ht="15.75" customHeight="1">
      <c r="B485" s="126"/>
    </row>
    <row r="486" ht="15.75" customHeight="1">
      <c r="B486" s="126"/>
    </row>
    <row r="487" ht="15.75" customHeight="1">
      <c r="B487" s="126"/>
    </row>
    <row r="488" ht="15.75" customHeight="1">
      <c r="B488" s="126"/>
    </row>
    <row r="489" ht="15.75" customHeight="1">
      <c r="B489" s="126"/>
    </row>
    <row r="490" ht="15.75" customHeight="1">
      <c r="B490" s="126"/>
    </row>
    <row r="491" ht="15.75" customHeight="1">
      <c r="B491" s="126"/>
    </row>
    <row r="492" ht="15.75" customHeight="1">
      <c r="B492" s="126"/>
    </row>
    <row r="493" ht="15.75" customHeight="1">
      <c r="B493" s="126"/>
    </row>
    <row r="494" ht="15.75" customHeight="1">
      <c r="B494" s="126"/>
    </row>
    <row r="495" ht="15.75" customHeight="1">
      <c r="B495" s="126"/>
    </row>
    <row r="496" ht="15.75" customHeight="1">
      <c r="B496" s="126"/>
    </row>
    <row r="497" ht="15.75" customHeight="1">
      <c r="B497" s="126"/>
    </row>
    <row r="498" ht="15.75" customHeight="1">
      <c r="B498" s="126"/>
    </row>
    <row r="499" ht="15.75" customHeight="1">
      <c r="B499" s="126"/>
    </row>
    <row r="500" ht="15.75" customHeight="1">
      <c r="B500" s="126"/>
    </row>
    <row r="501" ht="15.75" customHeight="1">
      <c r="B501" s="126"/>
    </row>
    <row r="502" ht="15.75" customHeight="1">
      <c r="B502" s="126"/>
    </row>
    <row r="503" ht="15.75" customHeight="1">
      <c r="B503" s="126"/>
    </row>
    <row r="504" ht="15.75" customHeight="1">
      <c r="B504" s="126"/>
    </row>
    <row r="505" ht="15.75" customHeight="1">
      <c r="B505" s="126"/>
    </row>
    <row r="506" ht="15.75" customHeight="1">
      <c r="B506" s="126"/>
    </row>
    <row r="507" ht="15.75" customHeight="1">
      <c r="B507" s="126"/>
    </row>
    <row r="508" ht="15.75" customHeight="1">
      <c r="B508" s="126"/>
    </row>
    <row r="509" ht="15.75" customHeight="1">
      <c r="B509" s="126"/>
    </row>
    <row r="510" ht="15.75" customHeight="1">
      <c r="B510" s="126"/>
    </row>
    <row r="511" ht="15.75" customHeight="1">
      <c r="B511" s="126"/>
    </row>
    <row r="512" ht="15.75" customHeight="1">
      <c r="B512" s="126"/>
    </row>
    <row r="513" ht="15.75" customHeight="1">
      <c r="B513" s="126"/>
    </row>
    <row r="514" ht="15.75" customHeight="1">
      <c r="B514" s="126"/>
    </row>
    <row r="515" ht="15.75" customHeight="1">
      <c r="B515" s="126"/>
    </row>
    <row r="516" ht="15.75" customHeight="1">
      <c r="B516" s="126"/>
    </row>
    <row r="517" ht="15.75" customHeight="1">
      <c r="B517" s="126"/>
    </row>
    <row r="518" ht="15.75" customHeight="1">
      <c r="B518" s="126"/>
    </row>
    <row r="519" ht="15.75" customHeight="1">
      <c r="B519" s="126"/>
    </row>
    <row r="520" ht="15.75" customHeight="1">
      <c r="B520" s="126"/>
    </row>
    <row r="521" ht="15.75" customHeight="1">
      <c r="B521" s="126"/>
    </row>
    <row r="522" ht="15.75" customHeight="1">
      <c r="B522" s="126"/>
    </row>
    <row r="523" ht="15.75" customHeight="1">
      <c r="B523" s="126"/>
    </row>
    <row r="524" ht="15.75" customHeight="1">
      <c r="B524" s="126"/>
    </row>
    <row r="525" ht="15.75" customHeight="1">
      <c r="B525" s="126"/>
    </row>
    <row r="526" ht="15.75" customHeight="1">
      <c r="B526" s="126"/>
    </row>
    <row r="527" ht="15.75" customHeight="1">
      <c r="B527" s="126"/>
    </row>
    <row r="528" ht="15.75" customHeight="1">
      <c r="B528" s="126"/>
    </row>
    <row r="529" ht="15.75" customHeight="1">
      <c r="B529" s="126"/>
    </row>
    <row r="530" ht="15.75" customHeight="1">
      <c r="B530" s="126"/>
    </row>
    <row r="531" ht="15.75" customHeight="1">
      <c r="B531" s="126"/>
    </row>
    <row r="532" ht="15.75" customHeight="1">
      <c r="B532" s="126"/>
    </row>
    <row r="533" ht="15.75" customHeight="1">
      <c r="B533" s="126"/>
    </row>
    <row r="534" ht="15.75" customHeight="1">
      <c r="B534" s="126"/>
    </row>
    <row r="535" ht="15.75" customHeight="1">
      <c r="B535" s="126"/>
    </row>
    <row r="536" ht="15.75" customHeight="1">
      <c r="B536" s="126"/>
    </row>
    <row r="537" ht="15.75" customHeight="1">
      <c r="B537" s="126"/>
    </row>
    <row r="538" ht="15.75" customHeight="1">
      <c r="B538" s="126"/>
    </row>
    <row r="539" ht="15.75" customHeight="1">
      <c r="B539" s="126"/>
    </row>
    <row r="540" ht="15.75" customHeight="1">
      <c r="B540" s="126"/>
    </row>
    <row r="541" ht="15.75" customHeight="1">
      <c r="B541" s="126"/>
    </row>
    <row r="542" ht="15.75" customHeight="1">
      <c r="B542" s="126"/>
    </row>
    <row r="543" ht="15.75" customHeight="1">
      <c r="B543" s="126"/>
    </row>
    <row r="544" ht="15.75" customHeight="1">
      <c r="B544" s="126"/>
    </row>
    <row r="545" ht="15.75" customHeight="1">
      <c r="B545" s="126"/>
    </row>
    <row r="546" ht="15.75" customHeight="1">
      <c r="B546" s="126"/>
    </row>
    <row r="547" ht="15.75" customHeight="1">
      <c r="B547" s="126"/>
    </row>
    <row r="548" ht="15.75" customHeight="1">
      <c r="B548" s="126"/>
    </row>
    <row r="549" ht="15.75" customHeight="1">
      <c r="B549" s="126"/>
    </row>
    <row r="550" ht="15.75" customHeight="1">
      <c r="B550" s="126"/>
    </row>
    <row r="551" ht="15.75" customHeight="1">
      <c r="B551" s="126"/>
    </row>
    <row r="552" ht="15.75" customHeight="1">
      <c r="B552" s="126"/>
    </row>
    <row r="553" ht="15.75" customHeight="1">
      <c r="B553" s="126"/>
    </row>
    <row r="554" ht="15.75" customHeight="1">
      <c r="B554" s="126"/>
    </row>
    <row r="555" ht="15.75" customHeight="1">
      <c r="B555" s="126"/>
    </row>
    <row r="556" ht="15.75" customHeight="1">
      <c r="B556" s="126"/>
    </row>
    <row r="557" ht="15.75" customHeight="1">
      <c r="B557" s="126"/>
    </row>
    <row r="558" ht="15.75" customHeight="1">
      <c r="B558" s="126"/>
    </row>
    <row r="559" ht="15.75" customHeight="1">
      <c r="B559" s="126"/>
    </row>
    <row r="560" ht="15.75" customHeight="1">
      <c r="B560" s="126"/>
    </row>
    <row r="561" ht="15.75" customHeight="1">
      <c r="B561" s="126"/>
    </row>
    <row r="562" ht="15.75" customHeight="1">
      <c r="B562" s="126"/>
    </row>
    <row r="563" ht="15.75" customHeight="1">
      <c r="B563" s="126"/>
    </row>
    <row r="564" ht="15.75" customHeight="1">
      <c r="B564" s="126"/>
    </row>
    <row r="565" ht="15.75" customHeight="1">
      <c r="B565" s="126"/>
    </row>
    <row r="566" ht="15.75" customHeight="1">
      <c r="B566" s="126"/>
    </row>
    <row r="567" ht="15.75" customHeight="1">
      <c r="B567" s="126"/>
    </row>
    <row r="568" ht="15.75" customHeight="1">
      <c r="B568" s="126"/>
    </row>
    <row r="569" ht="15.75" customHeight="1">
      <c r="B569" s="126"/>
    </row>
    <row r="570" ht="15.75" customHeight="1">
      <c r="B570" s="126"/>
    </row>
    <row r="571" ht="15.75" customHeight="1">
      <c r="B571" s="126"/>
    </row>
    <row r="572" ht="15.75" customHeight="1">
      <c r="B572" s="126"/>
    </row>
    <row r="573" ht="15.75" customHeight="1">
      <c r="B573" s="126"/>
    </row>
    <row r="574" ht="15.75" customHeight="1">
      <c r="B574" s="126"/>
    </row>
    <row r="575" ht="15.75" customHeight="1">
      <c r="B575" s="126"/>
    </row>
    <row r="576" ht="15.75" customHeight="1">
      <c r="B576" s="126"/>
    </row>
    <row r="577" ht="15.75" customHeight="1">
      <c r="B577" s="126"/>
    </row>
    <row r="578" ht="15.75" customHeight="1">
      <c r="B578" s="126"/>
    </row>
    <row r="579" ht="15.75" customHeight="1">
      <c r="B579" s="126"/>
    </row>
    <row r="580" ht="15.75" customHeight="1">
      <c r="B580" s="126"/>
    </row>
    <row r="581" ht="15.75" customHeight="1">
      <c r="B581" s="126"/>
    </row>
    <row r="582" ht="15.75" customHeight="1">
      <c r="B582" s="126"/>
    </row>
    <row r="583" ht="15.75" customHeight="1">
      <c r="B583" s="126"/>
    </row>
    <row r="584" ht="15.75" customHeight="1">
      <c r="B584" s="126"/>
    </row>
    <row r="585" ht="15.75" customHeight="1">
      <c r="B585" s="126"/>
    </row>
    <row r="586" ht="15.75" customHeight="1">
      <c r="B586" s="126"/>
    </row>
    <row r="587" ht="15.75" customHeight="1">
      <c r="B587" s="126"/>
    </row>
    <row r="588" ht="15.75" customHeight="1">
      <c r="B588" s="126"/>
    </row>
    <row r="589" ht="15.75" customHeight="1">
      <c r="B589" s="126"/>
    </row>
    <row r="590" ht="15.75" customHeight="1">
      <c r="B590" s="126"/>
    </row>
    <row r="591" ht="15.75" customHeight="1">
      <c r="B591" s="126"/>
    </row>
    <row r="592" ht="15.75" customHeight="1">
      <c r="B592" s="126"/>
    </row>
    <row r="593" ht="15.75" customHeight="1">
      <c r="B593" s="126"/>
    </row>
    <row r="594" ht="15.75" customHeight="1">
      <c r="B594" s="126"/>
    </row>
    <row r="595" ht="15.75" customHeight="1">
      <c r="B595" s="126"/>
    </row>
    <row r="596" ht="15.75" customHeight="1">
      <c r="B596" s="126"/>
    </row>
    <row r="597" ht="15.75" customHeight="1">
      <c r="B597" s="126"/>
    </row>
    <row r="598" ht="15.75" customHeight="1">
      <c r="B598" s="126"/>
    </row>
    <row r="599" ht="15.75" customHeight="1">
      <c r="B599" s="126"/>
    </row>
    <row r="600" ht="15.75" customHeight="1">
      <c r="B600" s="126"/>
    </row>
    <row r="601" ht="15.75" customHeight="1">
      <c r="B601" s="126"/>
    </row>
    <row r="602" ht="15.75" customHeight="1">
      <c r="B602" s="126"/>
    </row>
    <row r="603" ht="15.75" customHeight="1">
      <c r="B603" s="126"/>
    </row>
    <row r="604" ht="15.75" customHeight="1">
      <c r="B604" s="126"/>
    </row>
    <row r="605" ht="15.75" customHeight="1">
      <c r="B605" s="126"/>
    </row>
    <row r="606" ht="15.75" customHeight="1">
      <c r="B606" s="126"/>
    </row>
    <row r="607" ht="15.75" customHeight="1">
      <c r="B607" s="126"/>
    </row>
    <row r="608" ht="15.75" customHeight="1">
      <c r="B608" s="126"/>
    </row>
    <row r="609" ht="15.75" customHeight="1">
      <c r="B609" s="126"/>
    </row>
    <row r="610" ht="15.75" customHeight="1">
      <c r="B610" s="126"/>
    </row>
    <row r="611" ht="15.75" customHeight="1">
      <c r="B611" s="126"/>
    </row>
    <row r="612" ht="15.75" customHeight="1">
      <c r="B612" s="126"/>
    </row>
    <row r="613" ht="15.75" customHeight="1">
      <c r="B613" s="126"/>
    </row>
    <row r="614" ht="15.75" customHeight="1">
      <c r="B614" s="126"/>
    </row>
    <row r="615" ht="15.75" customHeight="1">
      <c r="B615" s="126"/>
    </row>
    <row r="616" ht="15.75" customHeight="1">
      <c r="B616" s="126"/>
    </row>
    <row r="617" ht="15.75" customHeight="1">
      <c r="B617" s="126"/>
    </row>
    <row r="618" ht="15.75" customHeight="1">
      <c r="B618" s="126"/>
    </row>
    <row r="619" ht="15.75" customHeight="1">
      <c r="B619" s="126"/>
    </row>
    <row r="620" ht="15.75" customHeight="1">
      <c r="B620" s="126"/>
    </row>
    <row r="621" ht="15.75" customHeight="1">
      <c r="B621" s="126"/>
    </row>
    <row r="622" ht="15.75" customHeight="1">
      <c r="B622" s="126"/>
    </row>
    <row r="623" ht="15.75" customHeight="1">
      <c r="B623" s="126"/>
    </row>
    <row r="624" ht="15.75" customHeight="1">
      <c r="B624" s="126"/>
    </row>
    <row r="625" ht="15.75" customHeight="1">
      <c r="B625" s="126"/>
    </row>
    <row r="626" ht="15.75" customHeight="1">
      <c r="B626" s="126"/>
    </row>
    <row r="627" ht="15.75" customHeight="1">
      <c r="B627" s="126"/>
    </row>
    <row r="628" ht="15.75" customHeight="1">
      <c r="B628" s="126"/>
    </row>
    <row r="629" ht="15.75" customHeight="1">
      <c r="B629" s="126"/>
    </row>
    <row r="630" ht="15.75" customHeight="1">
      <c r="B630" s="126"/>
    </row>
    <row r="631" ht="15.75" customHeight="1">
      <c r="B631" s="126"/>
    </row>
    <row r="632" ht="15.75" customHeight="1">
      <c r="B632" s="126"/>
    </row>
    <row r="633" ht="15.75" customHeight="1">
      <c r="B633" s="126"/>
    </row>
    <row r="634" ht="15.75" customHeight="1">
      <c r="B634" s="126"/>
    </row>
    <row r="635" ht="15.75" customHeight="1">
      <c r="B635" s="126"/>
    </row>
    <row r="636" ht="15.75" customHeight="1">
      <c r="B636" s="126"/>
    </row>
    <row r="637" ht="15.75" customHeight="1">
      <c r="B637" s="126"/>
    </row>
    <row r="638" ht="15.75" customHeight="1">
      <c r="B638" s="126"/>
    </row>
    <row r="639" ht="15.75" customHeight="1">
      <c r="B639" s="126"/>
    </row>
    <row r="640" ht="15.75" customHeight="1">
      <c r="B640" s="126"/>
    </row>
    <row r="641" ht="15.75" customHeight="1">
      <c r="B641" s="126"/>
    </row>
    <row r="642" ht="15.75" customHeight="1">
      <c r="B642" s="126"/>
    </row>
    <row r="643" ht="15.75" customHeight="1">
      <c r="B643" s="126"/>
    </row>
    <row r="644" ht="15.75" customHeight="1">
      <c r="B644" s="126"/>
    </row>
    <row r="645" ht="15.75" customHeight="1">
      <c r="B645" s="126"/>
    </row>
    <row r="646" ht="15.75" customHeight="1">
      <c r="B646" s="126"/>
    </row>
    <row r="647" ht="15.75" customHeight="1">
      <c r="B647" s="126"/>
    </row>
    <row r="648" ht="15.75" customHeight="1">
      <c r="B648" s="126"/>
    </row>
    <row r="649" ht="15.75" customHeight="1">
      <c r="B649" s="126"/>
    </row>
    <row r="650" ht="15.75" customHeight="1">
      <c r="B650" s="126"/>
    </row>
    <row r="651" ht="15.75" customHeight="1">
      <c r="B651" s="126"/>
    </row>
    <row r="652" ht="15.75" customHeight="1">
      <c r="B652" s="126"/>
    </row>
    <row r="653" ht="15.75" customHeight="1">
      <c r="B653" s="126"/>
    </row>
    <row r="654" ht="15.75" customHeight="1">
      <c r="B654" s="126"/>
    </row>
    <row r="655" ht="15.75" customHeight="1">
      <c r="B655" s="126"/>
    </row>
    <row r="656" ht="15.75" customHeight="1">
      <c r="B656" s="126"/>
    </row>
    <row r="657" ht="15.75" customHeight="1">
      <c r="B657" s="126"/>
    </row>
    <row r="658" ht="15.75" customHeight="1">
      <c r="B658" s="126"/>
    </row>
    <row r="659" ht="15.75" customHeight="1">
      <c r="B659" s="126"/>
    </row>
    <row r="660" ht="15.75" customHeight="1">
      <c r="B660" s="126"/>
    </row>
    <row r="661" ht="15.75" customHeight="1">
      <c r="B661" s="126"/>
    </row>
    <row r="662" ht="15.75" customHeight="1">
      <c r="B662" s="126"/>
    </row>
    <row r="663" ht="15.75" customHeight="1">
      <c r="B663" s="126"/>
    </row>
    <row r="664" ht="15.75" customHeight="1">
      <c r="B664" s="126"/>
    </row>
    <row r="665" ht="15.75" customHeight="1">
      <c r="B665" s="126"/>
    </row>
    <row r="666" ht="15.75" customHeight="1">
      <c r="B666" s="126"/>
    </row>
    <row r="667" ht="15.75" customHeight="1">
      <c r="B667" s="126"/>
    </row>
    <row r="668" ht="15.75" customHeight="1">
      <c r="B668" s="126"/>
    </row>
    <row r="669" ht="15.75" customHeight="1">
      <c r="B669" s="126"/>
    </row>
    <row r="670" ht="15.75" customHeight="1">
      <c r="B670" s="126"/>
    </row>
    <row r="671" ht="15.75" customHeight="1">
      <c r="B671" s="126"/>
    </row>
    <row r="672" ht="15.75" customHeight="1">
      <c r="B672" s="126"/>
    </row>
    <row r="673" ht="15.75" customHeight="1">
      <c r="B673" s="126"/>
    </row>
    <row r="674" ht="15.75" customHeight="1">
      <c r="B674" s="126"/>
    </row>
    <row r="675" ht="15.75" customHeight="1">
      <c r="B675" s="126"/>
    </row>
    <row r="676" ht="15.75" customHeight="1">
      <c r="B676" s="126"/>
    </row>
    <row r="677" ht="15.75" customHeight="1">
      <c r="B677" s="126"/>
    </row>
    <row r="678" ht="15.75" customHeight="1">
      <c r="B678" s="126"/>
    </row>
    <row r="679" ht="15.75" customHeight="1">
      <c r="B679" s="126"/>
    </row>
    <row r="680" ht="15.75" customHeight="1">
      <c r="B680" s="126"/>
    </row>
    <row r="681" ht="15.75" customHeight="1">
      <c r="B681" s="126"/>
    </row>
    <row r="682" ht="15.75" customHeight="1">
      <c r="B682" s="126"/>
    </row>
    <row r="683" ht="15.75" customHeight="1">
      <c r="B683" s="126"/>
    </row>
    <row r="684" ht="15.75" customHeight="1">
      <c r="B684" s="126"/>
    </row>
    <row r="685" ht="15.75" customHeight="1">
      <c r="B685" s="126"/>
    </row>
    <row r="686" ht="15.75" customHeight="1">
      <c r="B686" s="126"/>
    </row>
    <row r="687" ht="15.75" customHeight="1">
      <c r="B687" s="126"/>
    </row>
    <row r="688" ht="15.75" customHeight="1">
      <c r="B688" s="126"/>
    </row>
    <row r="689" ht="15.75" customHeight="1">
      <c r="B689" s="126"/>
    </row>
    <row r="690" ht="15.75" customHeight="1">
      <c r="B690" s="126"/>
    </row>
    <row r="691" ht="15.75" customHeight="1">
      <c r="B691" s="126"/>
    </row>
    <row r="692" ht="15.75" customHeight="1">
      <c r="B692" s="126"/>
    </row>
    <row r="693" ht="15.75" customHeight="1">
      <c r="B693" s="126"/>
    </row>
    <row r="694" ht="15.75" customHeight="1">
      <c r="B694" s="126"/>
    </row>
    <row r="695" ht="15.75" customHeight="1">
      <c r="B695" s="126"/>
    </row>
    <row r="696" ht="15.75" customHeight="1">
      <c r="B696" s="126"/>
    </row>
    <row r="697" ht="15.75" customHeight="1">
      <c r="B697" s="126"/>
    </row>
    <row r="698" ht="15.75" customHeight="1">
      <c r="B698" s="126"/>
    </row>
    <row r="699" ht="15.75" customHeight="1">
      <c r="B699" s="126"/>
    </row>
    <row r="700" ht="15.75" customHeight="1">
      <c r="B700" s="126"/>
    </row>
    <row r="701" ht="15.75" customHeight="1">
      <c r="B701" s="126"/>
    </row>
    <row r="702" ht="15.75" customHeight="1">
      <c r="B702" s="126"/>
    </row>
    <row r="703" ht="15.75" customHeight="1">
      <c r="B703" s="126"/>
    </row>
    <row r="704" ht="15.75" customHeight="1">
      <c r="B704" s="126"/>
    </row>
    <row r="705" ht="15.75" customHeight="1">
      <c r="B705" s="126"/>
    </row>
    <row r="706" ht="15.75" customHeight="1">
      <c r="B706" s="126"/>
    </row>
    <row r="707" ht="15.75" customHeight="1">
      <c r="B707" s="126"/>
    </row>
    <row r="708" ht="15.75" customHeight="1">
      <c r="B708" s="126"/>
    </row>
    <row r="709" ht="15.75" customHeight="1">
      <c r="B709" s="126"/>
    </row>
    <row r="710" ht="15.75" customHeight="1">
      <c r="B710" s="126"/>
    </row>
    <row r="711" ht="15.75" customHeight="1">
      <c r="B711" s="126"/>
    </row>
    <row r="712" ht="15.75" customHeight="1">
      <c r="B712" s="126"/>
    </row>
    <row r="713" ht="15.75" customHeight="1">
      <c r="B713" s="126"/>
    </row>
    <row r="714" ht="15.75" customHeight="1">
      <c r="B714" s="126"/>
    </row>
    <row r="715" ht="15.75" customHeight="1">
      <c r="B715" s="126"/>
    </row>
    <row r="716" ht="15.75" customHeight="1">
      <c r="B716" s="126"/>
    </row>
    <row r="717" ht="15.75" customHeight="1">
      <c r="B717" s="126"/>
    </row>
    <row r="718" ht="15.75" customHeight="1">
      <c r="B718" s="126"/>
    </row>
    <row r="719" ht="15.75" customHeight="1">
      <c r="B719" s="126"/>
    </row>
    <row r="720" ht="15.75" customHeight="1">
      <c r="B720" s="126"/>
    </row>
    <row r="721" ht="15.75" customHeight="1">
      <c r="B721" s="126"/>
    </row>
    <row r="722" ht="15.75" customHeight="1">
      <c r="B722" s="126"/>
    </row>
    <row r="723" ht="15.75" customHeight="1">
      <c r="B723" s="126"/>
    </row>
    <row r="724" ht="15.75" customHeight="1">
      <c r="B724" s="126"/>
    </row>
    <row r="725" ht="15.75" customHeight="1">
      <c r="B725" s="126"/>
    </row>
    <row r="726" ht="15.75" customHeight="1">
      <c r="B726" s="126"/>
    </row>
    <row r="727" ht="15.75" customHeight="1">
      <c r="B727" s="126"/>
    </row>
    <row r="728" ht="15.75" customHeight="1">
      <c r="B728" s="126"/>
    </row>
    <row r="729" ht="15.75" customHeight="1">
      <c r="B729" s="126"/>
    </row>
    <row r="730" ht="15.75" customHeight="1">
      <c r="B730" s="126"/>
    </row>
    <row r="731" ht="15.75" customHeight="1">
      <c r="B731" s="126"/>
    </row>
    <row r="732" ht="15.75" customHeight="1">
      <c r="B732" s="126"/>
    </row>
    <row r="733" ht="15.75" customHeight="1">
      <c r="B733" s="126"/>
    </row>
    <row r="734" ht="15.75" customHeight="1">
      <c r="B734" s="126"/>
    </row>
    <row r="735" ht="15.75" customHeight="1">
      <c r="B735" s="126"/>
    </row>
    <row r="736" ht="15.75" customHeight="1">
      <c r="B736" s="126"/>
    </row>
    <row r="737" ht="15.75" customHeight="1">
      <c r="B737" s="126"/>
    </row>
    <row r="738" ht="15.75" customHeight="1">
      <c r="B738" s="126"/>
    </row>
    <row r="739" ht="15.75" customHeight="1">
      <c r="B739" s="126"/>
    </row>
    <row r="740" ht="15.75" customHeight="1">
      <c r="B740" s="126"/>
    </row>
    <row r="741" ht="15.75" customHeight="1">
      <c r="B741" s="126"/>
    </row>
    <row r="742" ht="15.75" customHeight="1">
      <c r="B742" s="126"/>
    </row>
    <row r="743" ht="15.75" customHeight="1">
      <c r="B743" s="126"/>
    </row>
    <row r="744" ht="15.75" customHeight="1">
      <c r="B744" s="126"/>
    </row>
    <row r="745" ht="15.75" customHeight="1">
      <c r="B745" s="126"/>
    </row>
    <row r="746" ht="15.75" customHeight="1">
      <c r="B746" s="126"/>
    </row>
    <row r="747" ht="15.75" customHeight="1">
      <c r="B747" s="126"/>
    </row>
    <row r="748" ht="15.75" customHeight="1">
      <c r="B748" s="126"/>
    </row>
    <row r="749" ht="15.75" customHeight="1">
      <c r="B749" s="126"/>
    </row>
    <row r="750" ht="15.75" customHeight="1">
      <c r="B750" s="126"/>
    </row>
    <row r="751" ht="15.75" customHeight="1">
      <c r="B751" s="126"/>
    </row>
    <row r="752" ht="15.75" customHeight="1">
      <c r="B752" s="126"/>
    </row>
    <row r="753" ht="15.75" customHeight="1">
      <c r="B753" s="126"/>
    </row>
    <row r="754" ht="15.75" customHeight="1">
      <c r="B754" s="126"/>
    </row>
    <row r="755" ht="15.75" customHeight="1">
      <c r="B755" s="126"/>
    </row>
    <row r="756" ht="15.75" customHeight="1">
      <c r="B756" s="126"/>
    </row>
    <row r="757" ht="15.75" customHeight="1">
      <c r="B757" s="126"/>
    </row>
    <row r="758" ht="15.75" customHeight="1">
      <c r="B758" s="126"/>
    </row>
    <row r="759" ht="15.75" customHeight="1">
      <c r="B759" s="126"/>
    </row>
    <row r="760" ht="15.75" customHeight="1">
      <c r="B760" s="126"/>
    </row>
    <row r="761" ht="15.75" customHeight="1">
      <c r="B761" s="126"/>
    </row>
    <row r="762" ht="15.75" customHeight="1">
      <c r="B762" s="126"/>
    </row>
    <row r="763" ht="15.75" customHeight="1">
      <c r="B763" s="126"/>
    </row>
    <row r="764" ht="15.75" customHeight="1">
      <c r="B764" s="126"/>
    </row>
    <row r="765" ht="15.75" customHeight="1">
      <c r="B765" s="126"/>
    </row>
    <row r="766" ht="15.75" customHeight="1">
      <c r="B766" s="126"/>
    </row>
    <row r="767" ht="15.75" customHeight="1">
      <c r="B767" s="126"/>
    </row>
    <row r="768" ht="15.75" customHeight="1">
      <c r="B768" s="126"/>
    </row>
    <row r="769" ht="15.75" customHeight="1">
      <c r="B769" s="126"/>
    </row>
    <row r="770" ht="15.75" customHeight="1">
      <c r="B770" s="126"/>
    </row>
    <row r="771" ht="15.75" customHeight="1">
      <c r="B771" s="126"/>
    </row>
    <row r="772" ht="15.75" customHeight="1">
      <c r="B772" s="126"/>
    </row>
    <row r="773" ht="15.75" customHeight="1">
      <c r="B773" s="126"/>
    </row>
    <row r="774" ht="15.75" customHeight="1">
      <c r="B774" s="126"/>
    </row>
    <row r="775" ht="15.75" customHeight="1">
      <c r="B775" s="126"/>
    </row>
    <row r="776" ht="15.75" customHeight="1">
      <c r="B776" s="126"/>
    </row>
    <row r="777" ht="15.75" customHeight="1">
      <c r="B777" s="126"/>
    </row>
    <row r="778" ht="15.75" customHeight="1">
      <c r="B778" s="126"/>
    </row>
    <row r="779" ht="15.75" customHeight="1">
      <c r="B779" s="126"/>
    </row>
    <row r="780" ht="15.75" customHeight="1">
      <c r="B780" s="126"/>
    </row>
    <row r="781" ht="15.75" customHeight="1">
      <c r="B781" s="126"/>
    </row>
    <row r="782" ht="15.75" customHeight="1">
      <c r="B782" s="126"/>
    </row>
    <row r="783" ht="15.75" customHeight="1">
      <c r="B783" s="126"/>
    </row>
    <row r="784" ht="15.75" customHeight="1">
      <c r="B784" s="126"/>
    </row>
    <row r="785" ht="15.75" customHeight="1">
      <c r="B785" s="126"/>
    </row>
    <row r="786" ht="15.75" customHeight="1">
      <c r="B786" s="126"/>
    </row>
    <row r="787" ht="15.75" customHeight="1">
      <c r="B787" s="126"/>
    </row>
    <row r="788" ht="15.75" customHeight="1">
      <c r="B788" s="126"/>
    </row>
    <row r="789" ht="15.75" customHeight="1">
      <c r="B789" s="126"/>
    </row>
    <row r="790" ht="15.75" customHeight="1">
      <c r="B790" s="126"/>
    </row>
    <row r="791" ht="15.75" customHeight="1">
      <c r="B791" s="126"/>
    </row>
    <row r="792" ht="15.75" customHeight="1">
      <c r="B792" s="126"/>
    </row>
    <row r="793" ht="15.75" customHeight="1">
      <c r="B793" s="126"/>
    </row>
    <row r="794" ht="15.75" customHeight="1">
      <c r="B794" s="126"/>
    </row>
    <row r="795" ht="15.75" customHeight="1">
      <c r="B795" s="126"/>
    </row>
    <row r="796" ht="15.75" customHeight="1">
      <c r="B796" s="126"/>
    </row>
    <row r="797" ht="15.75" customHeight="1">
      <c r="B797" s="126"/>
    </row>
    <row r="798" ht="15.75" customHeight="1">
      <c r="B798" s="126"/>
    </row>
    <row r="799" ht="15.75" customHeight="1">
      <c r="B799" s="126"/>
    </row>
    <row r="800" ht="15.75" customHeight="1">
      <c r="B800" s="126"/>
    </row>
    <row r="801" ht="15.75" customHeight="1">
      <c r="B801" s="126"/>
    </row>
    <row r="802" ht="15.75" customHeight="1">
      <c r="B802" s="126"/>
    </row>
    <row r="803" ht="15.75" customHeight="1">
      <c r="B803" s="126"/>
    </row>
    <row r="804" ht="15.75" customHeight="1">
      <c r="B804" s="126"/>
    </row>
    <row r="805" ht="15.75" customHeight="1">
      <c r="B805" s="126"/>
    </row>
    <row r="806" ht="15.75" customHeight="1">
      <c r="B806" s="126"/>
    </row>
    <row r="807" ht="15.75" customHeight="1">
      <c r="B807" s="126"/>
    </row>
    <row r="808" ht="15.75" customHeight="1">
      <c r="B808" s="126"/>
    </row>
    <row r="809" ht="15.75" customHeight="1">
      <c r="B809" s="126"/>
    </row>
    <row r="810" ht="15.75" customHeight="1">
      <c r="B810" s="126"/>
    </row>
    <row r="811" ht="15.75" customHeight="1">
      <c r="B811" s="126"/>
    </row>
    <row r="812" ht="15.75" customHeight="1">
      <c r="B812" s="126"/>
    </row>
    <row r="813" ht="15.75" customHeight="1">
      <c r="B813" s="126"/>
    </row>
    <row r="814" ht="15.75" customHeight="1">
      <c r="B814" s="126"/>
    </row>
    <row r="815" ht="15.75" customHeight="1">
      <c r="B815" s="126"/>
    </row>
    <row r="816" ht="15.75" customHeight="1">
      <c r="B816" s="126"/>
    </row>
    <row r="817" ht="15.75" customHeight="1">
      <c r="B817" s="126"/>
    </row>
    <row r="818" ht="15.75" customHeight="1">
      <c r="B818" s="126"/>
    </row>
    <row r="819" ht="15.75" customHeight="1">
      <c r="B819" s="126"/>
    </row>
    <row r="820" ht="15.75" customHeight="1">
      <c r="B820" s="126"/>
    </row>
    <row r="821" ht="15.75" customHeight="1">
      <c r="B821" s="126"/>
    </row>
    <row r="822" ht="15.75" customHeight="1">
      <c r="B822" s="126"/>
    </row>
    <row r="823" ht="15.75" customHeight="1">
      <c r="B823" s="126"/>
    </row>
    <row r="824" ht="15.75" customHeight="1">
      <c r="B824" s="126"/>
    </row>
    <row r="825" ht="15.75" customHeight="1">
      <c r="B825" s="126"/>
    </row>
    <row r="826" ht="15.75" customHeight="1">
      <c r="B826" s="126"/>
    </row>
    <row r="827" ht="15.75" customHeight="1">
      <c r="B827" s="126"/>
    </row>
    <row r="828" ht="15.75" customHeight="1">
      <c r="B828" s="126"/>
    </row>
    <row r="829" ht="15.75" customHeight="1">
      <c r="B829" s="126"/>
    </row>
    <row r="830" ht="15.75" customHeight="1">
      <c r="B830" s="126"/>
    </row>
    <row r="831" ht="15.75" customHeight="1">
      <c r="B831" s="126"/>
    </row>
    <row r="832" ht="15.75" customHeight="1">
      <c r="B832" s="126"/>
    </row>
    <row r="833" ht="15.75" customHeight="1">
      <c r="B833" s="126"/>
    </row>
    <row r="834" ht="15.75" customHeight="1">
      <c r="B834" s="126"/>
    </row>
    <row r="835" ht="15.75" customHeight="1">
      <c r="B835" s="126"/>
    </row>
    <row r="836" ht="15.75" customHeight="1">
      <c r="B836" s="126"/>
    </row>
    <row r="837" ht="15.75" customHeight="1">
      <c r="B837" s="126"/>
    </row>
    <row r="838" ht="15.75" customHeight="1">
      <c r="B838" s="126"/>
    </row>
    <row r="839" ht="15.75" customHeight="1">
      <c r="B839" s="126"/>
    </row>
    <row r="840" ht="15.75" customHeight="1">
      <c r="B840" s="126"/>
    </row>
    <row r="841" ht="15.75" customHeight="1">
      <c r="B841" s="126"/>
    </row>
    <row r="842" ht="15.75" customHeight="1">
      <c r="B842" s="126"/>
    </row>
    <row r="843" ht="15.75" customHeight="1">
      <c r="B843" s="126"/>
    </row>
    <row r="844" ht="15.75" customHeight="1">
      <c r="B844" s="126"/>
    </row>
    <row r="845" ht="15.75" customHeight="1">
      <c r="B845" s="126"/>
    </row>
    <row r="846" ht="15.75" customHeight="1">
      <c r="B846" s="126"/>
    </row>
    <row r="847" ht="15.75" customHeight="1">
      <c r="B847" s="126"/>
    </row>
    <row r="848" ht="15.75" customHeight="1">
      <c r="B848" s="126"/>
    </row>
    <row r="849" ht="15.75" customHeight="1">
      <c r="B849" s="126"/>
    </row>
    <row r="850" ht="15.75" customHeight="1">
      <c r="B850" s="126"/>
    </row>
    <row r="851" ht="15.75" customHeight="1">
      <c r="B851" s="126"/>
    </row>
    <row r="852" ht="15.75" customHeight="1">
      <c r="B852" s="126"/>
    </row>
    <row r="853" ht="15.75" customHeight="1">
      <c r="B853" s="126"/>
    </row>
    <row r="854" ht="15.75" customHeight="1">
      <c r="B854" s="126"/>
    </row>
    <row r="855" ht="15.75" customHeight="1">
      <c r="B855" s="126"/>
    </row>
    <row r="856" ht="15.75" customHeight="1">
      <c r="B856" s="126"/>
    </row>
    <row r="857" ht="15.75" customHeight="1">
      <c r="B857" s="126"/>
    </row>
    <row r="858" ht="15.75" customHeight="1">
      <c r="B858" s="126"/>
    </row>
    <row r="859" ht="15.75" customHeight="1">
      <c r="B859" s="126"/>
    </row>
    <row r="860" ht="15.75" customHeight="1">
      <c r="B860" s="126"/>
    </row>
    <row r="861" ht="15.75" customHeight="1">
      <c r="B861" s="126"/>
    </row>
    <row r="862" ht="15.75" customHeight="1">
      <c r="B862" s="126"/>
    </row>
    <row r="863" ht="15.75" customHeight="1">
      <c r="B863" s="126"/>
    </row>
    <row r="864" ht="15.75" customHeight="1">
      <c r="B864" s="126"/>
    </row>
    <row r="865" ht="15.75" customHeight="1">
      <c r="B865" s="126"/>
    </row>
    <row r="866" ht="15.75" customHeight="1">
      <c r="B866" s="126"/>
    </row>
    <row r="867" ht="15.75" customHeight="1">
      <c r="B867" s="126"/>
    </row>
    <row r="868" ht="15.75" customHeight="1">
      <c r="B868" s="126"/>
    </row>
    <row r="869" ht="15.75" customHeight="1">
      <c r="B869" s="126"/>
    </row>
    <row r="870" ht="15.75" customHeight="1">
      <c r="B870" s="126"/>
    </row>
    <row r="871" ht="15.75" customHeight="1">
      <c r="B871" s="126"/>
    </row>
    <row r="872" ht="15.75" customHeight="1">
      <c r="B872" s="126"/>
    </row>
    <row r="873" ht="15.75" customHeight="1">
      <c r="B873" s="126"/>
    </row>
    <row r="874" ht="15.75" customHeight="1">
      <c r="B874" s="126"/>
    </row>
    <row r="875" ht="15.75" customHeight="1">
      <c r="B875" s="126"/>
    </row>
    <row r="876" ht="15.75" customHeight="1">
      <c r="B876" s="126"/>
    </row>
    <row r="877" ht="15.75" customHeight="1">
      <c r="B877" s="126"/>
    </row>
    <row r="878" ht="15.75" customHeight="1">
      <c r="B878" s="126"/>
    </row>
    <row r="879" ht="15.75" customHeight="1">
      <c r="B879" s="126"/>
    </row>
    <row r="880" ht="15.75" customHeight="1">
      <c r="B880" s="126"/>
    </row>
    <row r="881" ht="15.75" customHeight="1">
      <c r="B881" s="126"/>
    </row>
    <row r="882" ht="15.75" customHeight="1">
      <c r="B882" s="126"/>
    </row>
    <row r="883" ht="15.75" customHeight="1">
      <c r="B883" s="126"/>
    </row>
    <row r="884" ht="15.75" customHeight="1">
      <c r="B884" s="126"/>
    </row>
    <row r="885" ht="15.75" customHeight="1">
      <c r="B885" s="126"/>
    </row>
    <row r="886" ht="15.75" customHeight="1">
      <c r="B886" s="126"/>
    </row>
    <row r="887" ht="15.75" customHeight="1">
      <c r="B887" s="126"/>
    </row>
    <row r="888" ht="15.75" customHeight="1">
      <c r="B888" s="126"/>
    </row>
    <row r="889" ht="15.75" customHeight="1">
      <c r="B889" s="126"/>
    </row>
    <row r="890" ht="15.75" customHeight="1">
      <c r="B890" s="126"/>
    </row>
    <row r="891" ht="15.75" customHeight="1">
      <c r="B891" s="126"/>
    </row>
    <row r="892" ht="15.75" customHeight="1">
      <c r="B892" s="126"/>
    </row>
    <row r="893" ht="15.75" customHeight="1">
      <c r="B893" s="126"/>
    </row>
    <row r="894" ht="15.75" customHeight="1">
      <c r="B894" s="126"/>
    </row>
    <row r="895" ht="15.75" customHeight="1">
      <c r="B895" s="126"/>
    </row>
    <row r="896" ht="15.75" customHeight="1">
      <c r="B896" s="126"/>
    </row>
    <row r="897" ht="15.75" customHeight="1">
      <c r="B897" s="126"/>
    </row>
    <row r="898" ht="15.75" customHeight="1">
      <c r="B898" s="126"/>
    </row>
    <row r="899" ht="15.75" customHeight="1">
      <c r="B899" s="126"/>
    </row>
    <row r="900" ht="15.75" customHeight="1">
      <c r="B900" s="126"/>
    </row>
    <row r="901" ht="15.75" customHeight="1">
      <c r="B901" s="126"/>
    </row>
    <row r="902" ht="15.75" customHeight="1">
      <c r="B902" s="126"/>
    </row>
    <row r="903" ht="15.75" customHeight="1">
      <c r="B903" s="126"/>
    </row>
    <row r="904" ht="15.75" customHeight="1">
      <c r="B904" s="126"/>
    </row>
    <row r="905" ht="15.75" customHeight="1">
      <c r="B905" s="126"/>
    </row>
    <row r="906" ht="15.75" customHeight="1">
      <c r="B906" s="126"/>
    </row>
    <row r="907" ht="15.75" customHeight="1">
      <c r="B907" s="126"/>
    </row>
    <row r="908" ht="15.75" customHeight="1">
      <c r="B908" s="126"/>
    </row>
    <row r="909" ht="15.75" customHeight="1">
      <c r="B909" s="126"/>
    </row>
    <row r="910" ht="15.75" customHeight="1">
      <c r="B910" s="126"/>
    </row>
    <row r="911" ht="15.75" customHeight="1">
      <c r="B911" s="126"/>
    </row>
    <row r="912" ht="15.75" customHeight="1">
      <c r="B912" s="126"/>
    </row>
    <row r="913" ht="15.75" customHeight="1">
      <c r="B913" s="126"/>
    </row>
    <row r="914" ht="15.75" customHeight="1">
      <c r="B914" s="126"/>
    </row>
    <row r="915" ht="15.75" customHeight="1">
      <c r="B915" s="126"/>
    </row>
    <row r="916" ht="15.75" customHeight="1">
      <c r="B916" s="126"/>
    </row>
    <row r="917" ht="15.75" customHeight="1">
      <c r="B917" s="126"/>
    </row>
    <row r="918" ht="15.75" customHeight="1">
      <c r="B918" s="126"/>
    </row>
    <row r="919" ht="15.75" customHeight="1">
      <c r="B919" s="126"/>
    </row>
    <row r="920" ht="15.75" customHeight="1">
      <c r="B920" s="126"/>
    </row>
    <row r="921" ht="15.75" customHeight="1">
      <c r="B921" s="126"/>
    </row>
    <row r="922" ht="15.75" customHeight="1">
      <c r="B922" s="126"/>
    </row>
    <row r="923" ht="15.75" customHeight="1">
      <c r="B923" s="126"/>
    </row>
    <row r="924" ht="15.75" customHeight="1">
      <c r="B924" s="126"/>
    </row>
    <row r="925" ht="15.75" customHeight="1">
      <c r="B925" s="126"/>
    </row>
    <row r="926" ht="15.75" customHeight="1">
      <c r="B926" s="126"/>
    </row>
    <row r="927" ht="15.75" customHeight="1">
      <c r="B927" s="126"/>
    </row>
    <row r="928" ht="15.75" customHeight="1">
      <c r="B928" s="126"/>
    </row>
    <row r="929" ht="15.75" customHeight="1">
      <c r="B929" s="126"/>
    </row>
    <row r="930" ht="15.75" customHeight="1">
      <c r="B930" s="126"/>
    </row>
    <row r="931" ht="15.75" customHeight="1">
      <c r="B931" s="126"/>
    </row>
    <row r="932" ht="15.75" customHeight="1">
      <c r="B932" s="126"/>
    </row>
    <row r="933" ht="15.75" customHeight="1">
      <c r="B933" s="126"/>
    </row>
    <row r="934" ht="15.75" customHeight="1">
      <c r="B934" s="126"/>
    </row>
    <row r="935" ht="15.75" customHeight="1">
      <c r="B935" s="126"/>
    </row>
    <row r="936" ht="15.75" customHeight="1">
      <c r="B936" s="126"/>
    </row>
    <row r="937" ht="15.75" customHeight="1">
      <c r="B937" s="126"/>
    </row>
    <row r="938" ht="15.75" customHeight="1">
      <c r="B938" s="126"/>
    </row>
    <row r="939" ht="15.75" customHeight="1">
      <c r="B939" s="126"/>
    </row>
    <row r="940" ht="15.75" customHeight="1">
      <c r="B940" s="126"/>
    </row>
    <row r="941" ht="15.75" customHeight="1">
      <c r="B941" s="126"/>
    </row>
    <row r="942" ht="15.75" customHeight="1">
      <c r="B942" s="126"/>
    </row>
    <row r="943" ht="15.75" customHeight="1">
      <c r="B943" s="126"/>
    </row>
    <row r="944" ht="15.75" customHeight="1">
      <c r="B944" s="126"/>
    </row>
    <row r="945" ht="15.75" customHeight="1">
      <c r="B945" s="126"/>
    </row>
    <row r="946" ht="15.75" customHeight="1">
      <c r="B946" s="126"/>
    </row>
    <row r="947" ht="15.75" customHeight="1">
      <c r="B947" s="126"/>
    </row>
    <row r="948" ht="15.75" customHeight="1">
      <c r="B948" s="126"/>
    </row>
    <row r="949" ht="15.75" customHeight="1">
      <c r="B949" s="126"/>
    </row>
    <row r="950" ht="15.75" customHeight="1">
      <c r="B950" s="126"/>
    </row>
    <row r="951" ht="15.75" customHeight="1">
      <c r="B951" s="126"/>
    </row>
    <row r="952" ht="15.75" customHeight="1">
      <c r="B952" s="126"/>
    </row>
    <row r="953" ht="15.75" customHeight="1">
      <c r="B953" s="126"/>
    </row>
    <row r="954" ht="15.75" customHeight="1">
      <c r="B954" s="126"/>
    </row>
    <row r="955" ht="15.75" customHeight="1">
      <c r="B955" s="126"/>
    </row>
    <row r="956" ht="15.75" customHeight="1">
      <c r="B956" s="126"/>
    </row>
    <row r="957" ht="15.75" customHeight="1">
      <c r="B957" s="126"/>
    </row>
    <row r="958" ht="15.75" customHeight="1">
      <c r="B958" s="126"/>
    </row>
    <row r="959" ht="15.75" customHeight="1">
      <c r="B959" s="126"/>
    </row>
    <row r="960" ht="15.75" customHeight="1">
      <c r="B960" s="126"/>
    </row>
    <row r="961" ht="15.75" customHeight="1">
      <c r="B961" s="126"/>
    </row>
    <row r="962" ht="15.75" customHeight="1">
      <c r="B962" s="126"/>
    </row>
    <row r="963" ht="15.75" customHeight="1">
      <c r="B963" s="126"/>
    </row>
    <row r="964" ht="15.75" customHeight="1">
      <c r="B964" s="126"/>
    </row>
    <row r="965" ht="15.75" customHeight="1">
      <c r="B965" s="126"/>
    </row>
    <row r="966" ht="15.75" customHeight="1">
      <c r="B966" s="126"/>
    </row>
    <row r="967" ht="15.75" customHeight="1">
      <c r="B967" s="126"/>
    </row>
    <row r="968" ht="15.75" customHeight="1">
      <c r="B968" s="126"/>
    </row>
    <row r="969" ht="15.75" customHeight="1">
      <c r="B969" s="126"/>
    </row>
    <row r="970" ht="15.75" customHeight="1">
      <c r="B970" s="126"/>
    </row>
    <row r="971" ht="15.75" customHeight="1">
      <c r="B971" s="126"/>
    </row>
    <row r="972" ht="15.75" customHeight="1">
      <c r="B972" s="126"/>
    </row>
    <row r="973" ht="15.75" customHeight="1">
      <c r="B973" s="126"/>
    </row>
    <row r="974" ht="15.75" customHeight="1">
      <c r="B974" s="126"/>
    </row>
    <row r="975" ht="15.75" customHeight="1">
      <c r="B975" s="126"/>
    </row>
    <row r="976" ht="15.75" customHeight="1">
      <c r="B976" s="126"/>
    </row>
    <row r="977" ht="15.75" customHeight="1">
      <c r="B977" s="126"/>
    </row>
    <row r="978" ht="15.75" customHeight="1">
      <c r="B978" s="126"/>
    </row>
    <row r="979" ht="15.75" customHeight="1">
      <c r="B979" s="126"/>
    </row>
    <row r="980" ht="15.75" customHeight="1">
      <c r="B980" s="126"/>
    </row>
    <row r="981" ht="15.75" customHeight="1">
      <c r="B981" s="126"/>
    </row>
    <row r="982" ht="15.75" customHeight="1">
      <c r="B982" s="126"/>
    </row>
    <row r="983" ht="15.75" customHeight="1">
      <c r="B983" s="126"/>
    </row>
    <row r="984" ht="15.75" customHeight="1">
      <c r="B984" s="126"/>
    </row>
    <row r="985" ht="15.75" customHeight="1">
      <c r="B985" s="126"/>
    </row>
    <row r="986" ht="15.75" customHeight="1">
      <c r="B986" s="126"/>
    </row>
    <row r="987" ht="15.75" customHeight="1">
      <c r="B987" s="126"/>
    </row>
    <row r="988" ht="15.75" customHeight="1">
      <c r="B988" s="126"/>
    </row>
    <row r="989" ht="15.75" customHeight="1">
      <c r="B989" s="126"/>
    </row>
    <row r="990" ht="15.75" customHeight="1">
      <c r="B990" s="126"/>
    </row>
    <row r="991" ht="15.75" customHeight="1">
      <c r="B991" s="126"/>
    </row>
    <row r="992" ht="15.75" customHeight="1">
      <c r="B992" s="126"/>
    </row>
    <row r="993" ht="15.75" customHeight="1">
      <c r="B993" s="126"/>
    </row>
    <row r="994" ht="15.75" customHeight="1">
      <c r="B994" s="126"/>
    </row>
    <row r="995" ht="15.75" customHeight="1">
      <c r="B995" s="126"/>
    </row>
    <row r="996" ht="15.75" customHeight="1">
      <c r="B996" s="126"/>
    </row>
    <row r="997" ht="15.75" customHeight="1">
      <c r="B997" s="126"/>
    </row>
    <row r="998" ht="15.75" customHeight="1">
      <c r="B998" s="126"/>
    </row>
    <row r="999" ht="15.75" customHeight="1">
      <c r="B999" s="126"/>
    </row>
    <row r="1000" ht="15.75" customHeight="1">
      <c r="B1000" s="126"/>
    </row>
  </sheetData>
  <mergeCells count="2">
    <mergeCell ref="B2:V4"/>
    <mergeCell ref="B5:V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2025-06-27T06:25:00Z</dcterms:created>
  <dc:creator>Vijay Kumar Singh</dc:creator>
</cp:coreProperties>
</file>